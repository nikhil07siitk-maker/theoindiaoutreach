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Hot Leads (New &amp; Upcoming)" sheetId="2" state="visible" r:id="rId4"/>
    <sheet name="All Cafes (Premium+Normal)" sheetId="3" state="visible" r:id="rId5"/>
    <sheet name="Lead Profiles &amp; Strategy" sheetId="4" state="visible" r:id="rId6"/>
    <sheet name="Supply Map" sheetId="5" state="visible" r:id="rId7"/>
    <sheet name="Web Check — Supplier Leads" sheetId="6" state="visible" r:id="rId8"/>
    <sheet name="Roasters" sheetId="7" state="visible" r:id="rId9"/>
    <sheet name="Channel Partners" sheetId="8" state="visible" r:id="rId10"/>
    <sheet name="Excluded (Regular tier)" sheetId="9" state="visible" r:id="rId11"/>
    <sheet name="Summary by State" sheetId="10" state="visible" r:id="rId12"/>
    <sheet name="Coverage by City" sheetId="11" state="visible" r:id="rId13"/>
    <sheet name="Platform Coverage" sheetId="12" state="visible" r:id="rId14"/>
  </sheets>
  <definedNames>
    <definedName function="false" hidden="true" localSheetId="2" name="_xlnm._FilterDatabase" vbProcedure="false">'All Cafes (Premium+Normal)'!$A$1:$AG$281</definedName>
    <definedName function="false" hidden="true" localSheetId="7" name="_xlnm._FilterDatabase" vbProcedure="false">'Channel Partners'!$A$1:$K$31</definedName>
    <definedName function="false" hidden="true" localSheetId="8" name="_xlnm._FilterDatabase" vbProcedure="false">'Excluded (Regular tier)'!$A$1:$B$23</definedName>
    <definedName function="false" hidden="true" localSheetId="1" name="_xlnm._FilterDatabase" vbProcedure="false">'Hot Leads (New &amp; Upcoming)'!$A$1:$AG$91</definedName>
    <definedName function="false" hidden="true" localSheetId="3" name="_xlnm._FilterDatabase" vbProcedure="false">'Lead Profiles &amp; Strategy'!$A$1:$S$200</definedName>
    <definedName function="false" hidden="true" localSheetId="6" name="_xlnm._FilterDatabase" vbProcedure="false">Roasters!$A$1:$T$95</definedName>
    <definedName function="false" hidden="true" localSheetId="4" name="_xlnm._FilterDatabase" vbProcedure="false">'Supply Map'!$A$1:$F$51</definedName>
    <definedName function="false" hidden="true" localSheetId="5" name="_xlnm._FilterDatabase" vbProcedure="false">'Web Check — Supplier Leads'!$A$1:$G$19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<sst xmlns="http://schemas.openxmlformats.org/spreadsheetml/2006/main" count="13229" uniqueCount="3702">
  <si>
    <t xml:space="preserve">Premium Indian Specialty Coffee — Outreach Leads (North, West, Central, East &amp; Northeast India)</t>
  </si>
  <si>
    <t xml:space="preserve">Research date: 27 Oct 2026. South India deliberately excluded (Goa is included as West coast).</t>
  </si>
  <si>
    <t xml:space="preserve">TIERS</t>
  </si>
  <si>
    <t xml:space="preserve">Premium — origin-driven specialty: single-origin / single-estate or micro-lot menus, manual brew bar (V60, Chemex, AeroPress, siphon), multi-roaster or guest-roast programmes, or imports international single origins. Core market for premium beans.</t>
  </si>
  <si>
    <t xml:space="preserve">Normal — better than regular: specialty-leaning, espresso-led cafes with a quality house blend, maybe one filter option; food/dessert-led concepts with a deliberate coffee programme. Market for a premium house blend + one rotating estate.</t>
  </si>
  <si>
    <t xml:space="preserve">Regular — commodity / chain cafes. Not targeted; listed only in 'Excluded (Regular tier)' for reference.</t>
  </si>
  <si>
    <t xml:space="preserve">PRIORITY</t>
  </si>
  <si>
    <t xml:space="preserve">A — act this week: upcoming or just-opened cafes still choosing suppliers, multi-roaster cafes, and cafes known to buy from outside roasters.</t>
  </si>
  <si>
    <t xml:space="preserve">B — strong fit: established Premium/Normal independents that do not roast in-house.</t>
  </si>
  <si>
    <t xml:space="preserve">C — nurture: roaster-owned cafes (collab/guest lot only), chains, or thin evidence.</t>
  </si>
  <si>
    <t xml:space="preserve">STATUS</t>
  </si>
  <si>
    <t xml:space="preserve">Upcoming / Coming soon — announced or 'opening soon' on social/press but not open (the pre-launch hype window).</t>
  </si>
  <si>
    <t xml:space="preserve">New (opened 2026) / New (late 2025) — opened recently; supplier relationships still forming.</t>
  </si>
  <si>
    <t xml:space="preserve">HOW TO USE</t>
  </si>
  <si>
    <t xml:space="preserve">1. Start with 'Hot Leads (New &amp; Upcoming)' — sorted Upcoming → New, then priority. Row colours: pink = upcoming, green = priority A, cream tier cell = Premium.</t>
  </si>
  <si>
    <t xml:space="preserve">1b. 'Lead Profiles &amp; Strategy' — per priority A/B cafe: roasts in-house?, CURRENT COFFEE ROSTER (what they pour today), supplier/roaster, price signals, gap, what we can offer, approach strategy.</t>
  </si>
  <si>
    <t xml:space="preserve">1c. 'Supply Map' — every cafe whose supplier or own roastery is publicly known. Where a roster/supplier is 'Not published', ask on first contact and check the retail shelf / bag on the bar.</t>
  </si>
  <si>
    <t xml:space="preserve">2. 'Best first contact' picks the most direct public channel found (email &gt; Instagram DM &gt; phone &gt; LinkedIn &gt; website &gt; walk-in).</t>
  </si>
  <si>
    <t xml:space="preserve">3. Every row has a Source link. 'Verify / notes' flags single-source facts, unconfirmed cities and handles not yet indexed by search.</t>
  </si>
  <si>
    <t xml:space="preserve">4. 'Roasters' lists competitors and possible partners (guest-roast slots in multi-roaster cafes, co-roasting, distribution). 'Channel Partners' lists cafe consultants, barista academies, communities and events that reach cafes before launch.</t>
  </si>
  <si>
    <t xml:space="preserve">5. 'Summary by State' recounts automatically (COUNTIF formulas) if you add or retag rows.</t>
  </si>
  <si>
    <t xml:space="preserve">CONTACT DATA POLICY</t>
  </si>
  <si>
    <t xml:space="preserve">Only publicly listed business contacts were recorded. Nothing was guessed (no constructed emails). Blank = not published / not found yet. Individual names appear only as publicly credited founders or brand leads.</t>
  </si>
  <si>
    <t xml:space="preserve">WEB CHECK (research/check_pages.py)</t>
  </si>
  <si>
    <t xml:space="preserve">Columns and the sheet marked 'auto — verify' were extracted automatically from each lead's own site, listings and articles: roasters named, origins/estates, processes, brew methods, prices, opening/hiring signals and published contacts. Each item has a snippet and page in csv/page_findings.csv and research/page_findings.json. Check by eye before quoting it to the cafe.</t>
  </si>
  <si>
    <t xml:space="preserve">'Web Check — Supplier Leads' pairs cafes with roasters named on the cafe's pages, in articles about it, or on the roaster's stockist pages. 'Named in an article' is the weakest evidence.</t>
  </si>
  <si>
    <t xml:space="preserve">COUNTS</t>
  </si>
  <si>
    <t xml:space="preserve">Cafes — total (Premium + Normal)</t>
  </si>
  <si>
    <t xml:space="preserve">Cafes — Premium</t>
  </si>
  <si>
    <t xml:space="preserve">Cafes — Normal</t>
  </si>
  <si>
    <t xml:space="preserve">Cafes — Priority A</t>
  </si>
  <si>
    <t xml:space="preserve">Hot leads (new &amp; upcoming)</t>
  </si>
  <si>
    <t xml:space="preserve">Upcoming / coming soon</t>
  </si>
  <si>
    <t xml:space="preserve">Opened in 2026</t>
  </si>
  <si>
    <t xml:space="preserve">Multi-roaster cafes</t>
  </si>
  <si>
    <t xml:space="preserve">Cafes that roast in-house</t>
  </si>
  <si>
    <t xml:space="preserve">Supplier / roaster identified (not own roastery)</t>
  </si>
  <si>
    <t xml:space="preserve">With an Instagram handle</t>
  </si>
  <si>
    <t xml:space="preserve">Roasters</t>
  </si>
  <si>
    <t xml:space="preserve">Channel partners</t>
  </si>
  <si>
    <t xml:space="preserve">Cafes with a web check</t>
  </si>
  <si>
    <t xml:space="preserve">Cafe–roaster pairs from the web check</t>
  </si>
  <si>
    <t xml:space="preserve">ID</t>
  </si>
  <si>
    <t xml:space="preserve">Priority</t>
  </si>
  <si>
    <t xml:space="preserve">Status</t>
  </si>
  <si>
    <t xml:space="preserve">Tier</t>
  </si>
  <si>
    <t xml:space="preserve">Name</t>
  </si>
  <si>
    <t xml:space="preserve">Type</t>
  </si>
  <si>
    <t xml:space="preserve">Region</t>
  </si>
  <si>
    <t xml:space="preserve">State</t>
  </si>
  <si>
    <t xml:space="preserve">City</t>
  </si>
  <si>
    <t xml:space="preserve">Area / address</t>
  </si>
  <si>
    <t xml:space="preserve">Roasts in-house?</t>
  </si>
  <si>
    <t xml:space="preserve">Current coffee roster</t>
  </si>
  <si>
    <t xml:space="preserve">Supplier / roaster</t>
  </si>
  <si>
    <t xml:space="preserve">Price signals</t>
  </si>
  <si>
    <t xml:space="preserve">Gap in their roster</t>
  </si>
  <si>
    <t xml:space="preserve">What we can offer</t>
  </si>
  <si>
    <t xml:space="preserve">Approach strategy</t>
  </si>
  <si>
    <t xml:space="preserve">Evidence (why this tier)</t>
  </si>
  <si>
    <t xml:space="preserve">Pitch angle</t>
  </si>
  <si>
    <t xml:space="preserve">Best first contact</t>
  </si>
  <si>
    <t xml:space="preserve">Instagram</t>
  </si>
  <si>
    <t xml:space="preserve">Instagram URL</t>
  </si>
  <si>
    <t xml:space="preserve">Website</t>
  </si>
  <si>
    <t xml:space="preserve">Email</t>
  </si>
  <si>
    <t xml:space="preserve">Phone</t>
  </si>
  <si>
    <t xml:space="preserve">LinkedIn</t>
  </si>
  <si>
    <t xml:space="preserve">Listing (Zomato / EazyDiner / Reddit)</t>
  </si>
  <si>
    <t xml:space="preserve">Key people (public)</t>
  </si>
  <si>
    <t xml:space="preserve">Source</t>
  </si>
  <si>
    <t xml:space="preserve">Verify / notes</t>
  </si>
  <si>
    <t xml:space="preserve">Web check: roster evidence (auto — verify)</t>
  </si>
  <si>
    <t xml:space="preserve">Contacts on its own pages</t>
  </si>
  <si>
    <t xml:space="preserve">Pages read (web check)</t>
  </si>
  <si>
    <t xml:space="preserve">C071</t>
  </si>
  <si>
    <t xml:space="preserve">A</t>
  </si>
  <si>
    <t xml:space="preserve">Upcoming / Coming soon</t>
  </si>
  <si>
    <t xml:space="preserve">Premium</t>
  </si>
  <si>
    <t xml:space="preserve">Unnamed specialty cafe — Viman Nagar (in planning)</t>
  </si>
  <si>
    <t xml:space="preserve">Independent specialty cafe</t>
  </si>
  <si>
    <t xml:space="preserve">West</t>
  </si>
  <si>
    <t xml:space="preserve">Maharashtra</t>
  </si>
  <si>
    <t xml:space="preserve">Pune</t>
  </si>
  <si>
    <t xml:space="preserve">Viman Nagar</t>
  </si>
  <si>
    <t xml:space="preserve">Unknown</t>
  </si>
  <si>
    <t xml:space="preserve">Plans Coorg-sourced beans</t>
  </si>
  <si>
    <t xml:space="preserve">Not published — ask on first contact (look at the retail shelf / bag on the bar)</t>
  </si>
  <si>
    <t xml:space="preserve">Rotating single-estate / micro-lot for the filter bar + a single-origin espresso option.</t>
  </si>
  <si>
    <t xml:space="preserve">Pre-launch: send a 3-estate tasting kit and offer a menu-development session before the menu locks; 90-day launch exclusivity in their micro-market; fixed price for the first 6 months.</t>
  </si>
  <si>
    <t xml:space="preserve">Founder posted on r/PuneCoffee (mid-2026) about opening a specialty cafe with Coorg beans and board-game nights.</t>
  </si>
  <si>
    <t xml:space="preserve">Pre-launch — reach founder via r/PuneCoffee before supplier is locked.</t>
  </si>
  <si>
    <t xml:space="preserve">Walk-in / Google Maps listing</t>
  </si>
  <si>
    <t xml:space="preserve">https://www.reddit.com/r/PuneCoffee/new/</t>
  </si>
  <si>
    <t xml:space="preserve">r/PuneCoffee (via mirror redlib.groet-infra.nl/r/PuneCoffee/new)</t>
  </si>
  <si>
    <t xml:space="preserve">Name unknown; Reddit post</t>
  </si>
  <si>
    <t xml:space="preserve">0 of 1 read: </t>
  </si>
  <si>
    <t xml:space="preserve">C174</t>
  </si>
  <si>
    <t xml:space="preserve">Normal</t>
  </si>
  <si>
    <t xml:space="preserve">Coffee Bond (Cafe Bond) — CP &amp; Karkardooma</t>
  </si>
  <si>
    <t xml:space="preserve">Cafe chain / multi-outlet</t>
  </si>
  <si>
    <t xml:space="preserve">North</t>
  </si>
  <si>
    <t xml:space="preserve">Delhi</t>
  </si>
  <si>
    <t xml:space="preserve">New Delhi</t>
  </si>
  <si>
    <t xml:space="preserve">Uday Park (South Ex II) + Saket; CP/Karkardooma outlets not confirmed</t>
  </si>
  <si>
    <t xml:space="preserve">Not published</t>
  </si>
  <si>
    <t xml:space="preserve">Premium house espresso blend of Indian estates + one rotating single estate + cold-brew lot.</t>
  </si>
  <si>
    <t xml:space="preserve">Instagram bio announces 'opening soon' at Connaught Place and Karkardooma; Time Out called it an Australian import. Second handle for GK outlet: @cafebondgk. Second brand handle @thecoffeebond lists Uday Park (Delhi), Noida Sector 51 and Surat.</t>
  </si>
  <si>
    <t xml:space="preserve">Two launches pending — pitch before menus are fixed.</t>
  </si>
  <si>
    <t xml:space="preserve">Instagram DM</t>
  </si>
  <si>
    <t xml:space="preserve">@coffeebond</t>
  </si>
  <si>
    <t xml:space="preserve">https://www.instagram.com/coffeebond/</t>
  </si>
  <si>
    <t xml:space="preserve">Wave 4: no CP or Karkardooma listing found; Time Out calls it an Australian import.</t>
  </si>
  <si>
    <t xml:space="preserve">Imported origins: Vietnam; Brew: Flat white</t>
  </si>
  <si>
    <t xml:space="preserve">3 of 4 read: https://www.explurger.com/pd/jjbnu1aqc73y2ajf6 https://www.explurger.com/pd/n1dlk70912p3g7pks https://wanderlog.com/place/details/1079729/coffee-bond</t>
  </si>
  <si>
    <t xml:space="preserve">C042</t>
  </si>
  <si>
    <t xml:space="preserve">B</t>
  </si>
  <si>
    <t xml:space="preserve">Boojee Cafe — One BKC</t>
  </si>
  <si>
    <t xml:space="preserve">Roaster-cafe (roasts in-house)</t>
  </si>
  <si>
    <t xml:space="preserve">Mumbai</t>
  </si>
  <si>
    <t xml:space="preserve">One BKC, Bandra Kurla Complex</t>
  </si>
  <si>
    <t xml:space="preserve">Yes</t>
  </si>
  <si>
    <t xml:space="preserve">Own roastery</t>
  </si>
  <si>
    <t xml:space="preserve">Green coffee or a limited guest micro-lot collaboration (they roast in-house).</t>
  </si>
  <si>
    <t xml:space="preserve">Don't pitch roasted supply — offer green lots or a co-branded guest micro-lot.</t>
  </si>
  <si>
    <t xml:space="preserve">Time Out (Aug 2026) reported Boojee's 5th Mumbai outlet opening soon at One BKC; Boojee runs as neighbourhood cafe + creative roastery.</t>
  </si>
  <si>
    <t xml:space="preserve">Roasts own, but expanding fast — pitch a limited guest single-estate for the BKC launch menu.</t>
  </si>
  <si>
    <t xml:space="preserve">https://www.timeout.com/mumbai/news/boojee-cafe-is-opening-a-new-outlet-at-one-bkc-in-mumbai-082026</t>
  </si>
  <si>
    <t xml:space="preserve">Wave 4: BKC still 'coming soon' (Time Out, Aug 2026); would be Boojee's 5th outlet.</t>
  </si>
  <si>
    <t xml:space="preserve">Roasters named in articles about it: Boojee Cafe &amp; Roastery; Brew: Flat white, Cold brew; ₹2,000 for two; Signals: Coming soon</t>
  </si>
  <si>
    <t xml:space="preserve">3 of 3 read: https://www.timeout.com/mumbai/news/boojee-cafe-is-opening-a-new-outlet-at-one-bkc-in-mumbai-082026 https://curlytales.com/india/food/mumbaikars-boojee-cafe-is-coming-to-bkc-with-its-signature-brews-bites/ https://www.freepressjournal.in/lifestyle/from-bandra-to-sobo-boojee-cafe-brings-its-classic-brews-brunch-to-south-mumbai</t>
  </si>
  <si>
    <t xml:space="preserve">C073</t>
  </si>
  <si>
    <t xml:space="preserve">Cafe Serenity — Baner (relocating)</t>
  </si>
  <si>
    <t xml:space="preserve">Baner</t>
  </si>
  <si>
    <t xml:space="preserve">Instagram: 'Serenity finds a new home in Baner — be back soon'.</t>
  </si>
  <si>
    <t xml:space="preserve">Relaunch = supplier reset moment.</t>
  </si>
  <si>
    <t xml:space="preserve">@cafeserenity_pune</t>
  </si>
  <si>
    <t xml:space="preserve">https://www.instagram.com/cafeserenity_pune/</t>
  </si>
  <si>
    <t xml:space="preserve">Wave 4: only a Kothrud (Mayur Colony) listing found; Baner move unconfirmed.</t>
  </si>
  <si>
    <t xml:space="preserve">1 of 1 read: https://www.explurger.com/pd/pkfm8zlni1mxtmjw0</t>
  </si>
  <si>
    <t xml:space="preserve">C012</t>
  </si>
  <si>
    <t xml:space="preserve">New (opened 2026)</t>
  </si>
  <si>
    <t xml:space="preserve">BBRWN Cafe</t>
  </si>
  <si>
    <t xml:space="preserve">TBC</t>
  </si>
  <si>
    <t xml:space="preserve">Just opened: offer a guest-lot month + free barista calibration; side-by-side cupping against their current beans; ask which roaster/estates they use and what they'd change.</t>
  </si>
  <si>
    <t xml:space="preserve">New specialty cafe from Drishti Gundecha where coffee and ceremonial matcha take centre stage (2026 Mumbai openings coverage).</t>
  </si>
  <si>
    <t xml:space="preserve">New, coffee-first concept — offer espresso + filter single-estate pair.</t>
  </si>
  <si>
    <t xml:space="preserve">Drishti Gundecha (founder, per press)</t>
  </si>
  <si>
    <t xml:space="preserve">Mumbai 2026 new-openings roundups (search)</t>
  </si>
  <si>
    <t xml:space="preserve">Location and opening date not confirmed Instagram not indexed by search yet — look up by name on Instagram Wave 4: not found in a web search beyond its source roundup — confirm it is open (Instagram / Google Maps) before outreach.</t>
  </si>
  <si>
    <t xml:space="preserve">C013</t>
  </si>
  <si>
    <t xml:space="preserve">Coffee Capital</t>
  </si>
  <si>
    <t xml:space="preserve">Chembur + Versova (34 covers)</t>
  </si>
  <si>
    <t xml:space="preserve">Single-origin Arabica from Karnataka, Tamil Nadu, Odisha and Nagaland + a rotating slot of INTERNATIONAL micro-lots; whiskey-barrel-aged coffee; 'Noble Nectar'.</t>
  </si>
  <si>
    <t xml:space="preserve">~₹1,000 for two; EazyDiner 4.8 (249)</t>
  </si>
  <si>
    <t xml:space="preserve">Imports fill the 'exotic' slot.</t>
  </si>
  <si>
    <t xml:space="preserve">Indian anaerobic / experimental lots to replace the international micro-lot slot; barrel-ageing lots.</t>
  </si>
  <si>
    <t xml:space="preserve">Lead with a cupping of 2–3 Indian experimental lots against their current import; offer the rotating slot at a fixed monthly price.</t>
  </si>
  <si>
    <t xml:space="preserve">34-cover specialty cafe format built around single-origin Indian Arabica (Restaurant India). Instagram 'specialty coffee, cozy vibes — Chembur' with ~46 followers / 30 posts when indexed: account is brand-new.</t>
  </si>
  <si>
    <t xml:space="preserve">Menu is origin-driven — natural buyer of multiple single estates.</t>
  </si>
  <si>
    <t xml:space="preserve">@coffeecapital__</t>
  </si>
  <si>
    <t xml:space="preserve">https://www.instagram.com/coffeecapital__/</t>
  </si>
  <si>
    <t xml:space="preserve">Tuhin Ghosh (founder)</t>
  </si>
  <si>
    <t xml:space="preserve">https://www.restaurantindia.in/news/restaurant-india-news-coffee-capital-launches-in-mumbai-with-34-cover-speciality-caf-format.n15399</t>
  </si>
  <si>
    <t xml:space="preserve">Processes / format: Micro-lot, Single origin; Brew: Cold brew; Prices: wo at Coffee Capital? The cost of two at Coffee Capital is ₹ 1000. You can save EXTRA; ₹ 1000 for two</t>
  </si>
  <si>
    <t xml:space="preserve">2 of 3 read: https://www.eazydiner.com/mumbai/coffee-capital-versova-western-suburbs-712657 https://www.restaurantindia.in/news/restaurant-india-news-coffee-capital-launches-in-mumbai-with-34-cover-speciality-caf-format.n15399</t>
  </si>
  <si>
    <t xml:space="preserve">C015</t>
  </si>
  <si>
    <t xml:space="preserve">Esc. Coffee x Deli</t>
  </si>
  <si>
    <t xml:space="preserve">Bandra</t>
  </si>
  <si>
    <t xml:space="preserve">Specialty coffee spot in March 2026 openings (Foodies of India).</t>
  </si>
  <si>
    <t xml:space="preserve">https://foodiesofindia.wordpress.com/2026/03/01/new-restaurants-in-mumbai-march-2026-round-up-25-new-openings/</t>
  </si>
  <si>
    <t xml:space="preserve">₹1500 for two</t>
  </si>
  <si>
    <t xml:space="preserve">2 of 2 read: https://www.district.in/dining/mumbai/esc-coffee-x-deli-carter-road-bandra-west https://foodiesofindia.wordpress.com/2026/03/01/new-restaurants-in-mumbai-march-2026-round-up-25-new-openings/</t>
  </si>
  <si>
    <t xml:space="preserve">C016</t>
  </si>
  <si>
    <t xml:space="preserve">Grahm Cafe</t>
  </si>
  <si>
    <t xml:space="preserve">Neighbourhood cafe for specialty coffee, fresh bakes, brunch (Foodies of India, Aug 2026).</t>
  </si>
  <si>
    <t xml:space="preserve">https://foodiesofindia.wordpress.com/2026/08/04/new-restaurants-cafes-in-mumbai-august-2026/</t>
  </si>
  <si>
    <t xml:space="preserve">Wave 4: not found in a web search beyond its source roundup — confirm it is open (Instagram / Google Maps) before outreach.</t>
  </si>
  <si>
    <t xml:space="preserve">Commodity brands: Nespresso</t>
  </si>
  <si>
    <t xml:space="preserve">1 of 1 read: https://foodiesofindia.wordpress.com/2026/08/04/new-restaurants-cafes-in-mumbai-august-2026/</t>
  </si>
  <si>
    <t xml:space="preserve">C017</t>
  </si>
  <si>
    <t xml:space="preserve">JOKER</t>
  </si>
  <si>
    <t xml:space="preserve">Coffee + cocktail bar</t>
  </si>
  <si>
    <t xml:space="preserve">Turner Rd, Bandra W (opened 2 Aug 2026)</t>
  </si>
  <si>
    <t xml:space="preserve">Cafe by day, cocktail bar by night; Brandy Barrel Aged pour-over; signatures Joker Twist, Frost and Fortune.</t>
  </si>
  <si>
    <t xml:space="preserve">Barrel-aged programme needs lots that suit ageing.</t>
  </si>
  <si>
    <t xml:space="preserve">Co-developed barrel series (rum / brandy / whisky) on Indian naturals + cocktail-grade espresso.</t>
  </si>
  <si>
    <t xml:space="preserve">Pitch Aspect Hospitality's F&amp;B team — group can roll it out to other venues.</t>
  </si>
  <si>
    <t xml:space="preserve">Aspect Hospitality's all-day coffee &amp; cocktail bar, opened 2 Aug 2026.</t>
  </si>
  <si>
    <t xml:space="preserve">Website contact form</t>
  </si>
  <si>
    <t xml:space="preserve">https://aspecthospitality.in</t>
  </si>
  <si>
    <t xml:space="preserve">Aspect Hospitality</t>
  </si>
  <si>
    <t xml:space="preserve">https://www.restaurantindia.in/news/aspect-hospitality-expands-fb-portfolio-with-joker-in-bandra.n16905</t>
  </si>
  <si>
    <t xml:space="preserve">Brew: Pour over</t>
  </si>
  <si>
    <t xml:space="preserve">3 of 4 read: https://aspecthospitality.in https://www.aspecthospitality.in/our-story https://www.restaurantindia.in/news/aspect-hospitality-expands-fb-portfolio-with-joker-in-bandra.n16905</t>
  </si>
  <si>
    <t xml:space="preserve">C019</t>
  </si>
  <si>
    <t xml:space="preserve">Kink Speciality Coffee</t>
  </si>
  <si>
    <t xml:space="preserve">Bandra (+ other outlets)</t>
  </si>
  <si>
    <t xml:space="preserve">Instagram: speciality coffee, Bandra among outlets. Foodies of India Jan 2026: bold, modern coffee spot, strong brews.</t>
  </si>
  <si>
    <t xml:space="preserve">Specialty indie.</t>
  </si>
  <si>
    <t xml:space="preserve">@kink.coffee</t>
  </si>
  <si>
    <t xml:space="preserve">https://www.instagram.com/kink.coffee/</t>
  </si>
  <si>
    <t xml:space="preserve">https://foodiesofindia.wordpress.com/2026/01/15/january-2026-30-new-restaurants-cafes-in-mumbai-you-need-to-check-out/</t>
  </si>
  <si>
    <t xml:space="preserve">C020</t>
  </si>
  <si>
    <t xml:space="preserve">KĀPIBAR</t>
  </si>
  <si>
    <t xml:space="preserve">Regional Indian coffee traditions (details not published).</t>
  </si>
  <si>
    <t xml:space="preserve">Regional single estates (Coorg, Chikmagalur, Nilgiris, Araku, Northeast) — a 'map of India' flight.</t>
  </si>
  <si>
    <t xml:space="preserve">Perfect story fit — lead with origin storytelling.</t>
  </si>
  <si>
    <t xml:space="preserve">South Indian-inspired cafe celebrating regional coffee traditions (Foodies of India, Aug 2026).</t>
  </si>
  <si>
    <t xml:space="preserve">C021</t>
  </si>
  <si>
    <t xml:space="preserve">MUVN Coffee</t>
  </si>
  <si>
    <t xml:space="preserve">Andheri</t>
  </si>
  <si>
    <t xml:space="preserve">Listed under 'New Cafes in Andheri' (Foodies of India, Apr 2026).</t>
  </si>
  <si>
    <t xml:space="preserve">https://foodiesofindia.wordpress.com/2026/04/02/20-new-restaurants-in-mumbai-to-check-out-april-2026/</t>
  </si>
  <si>
    <t xml:space="preserve">1 of 1 read: https://foodiesofindia.wordpress.com/2026/04/02/20-new-restaurants-in-mumbai-to-check-out-april-2026/</t>
  </si>
  <si>
    <t xml:space="preserve">C022</t>
  </si>
  <si>
    <t xml:space="preserve">Stand By Coffee — Juhu</t>
  </si>
  <si>
    <t xml:space="preserve">Juhu (3rd outlet after Worli and Bandra)</t>
  </si>
  <si>
    <t xml:space="preserve">No (roasting partners)</t>
  </si>
  <si>
    <t xml:space="preserve">Pour-overs, espresso, matcha; first outlet with ube drinks. Seven Chikmagalur coffees from outside roasting partners.</t>
  </si>
  <si>
    <t xml:space="preserve">Works with outside roasting partners (unnamed)</t>
  </si>
  <si>
    <t xml:space="preserve">₹600–1,700 for two</t>
  </si>
  <si>
    <t xml:space="preserve">Single-region roster (Chikmagalur only).</t>
  </si>
  <si>
    <t xml:space="preserve">Non-Chikmagalur estates (Northeast, Araku, Nilgiris, Odisha, Coorg) to diversify the 7-coffee wall.</t>
  </si>
  <si>
    <t xml:space="preserve">Group pitch for all three outlets: offer a non-Karnataka estate as a guest pour-over across Worli, Bandra and Juhu.</t>
  </si>
  <si>
    <t xml:space="preserve">Mumbai-born cafe brand opened 3rd outlet in Juhu; menu has espresso, pour-over, matcha and ube drinks. Instagram bio: 7:30am–1am, phone numbers listed in bio, on Zomato/Swiggy.</t>
  </si>
  <si>
    <t xml:space="preserve">Growing indie brand with pour-over on menu — pitch rotating single-estate filter offering.</t>
  </si>
  <si>
    <t xml:space="preserve">@standbycoffee__</t>
  </si>
  <si>
    <t xml:space="preserve">https://www.instagram.com/standbycoffee__/</t>
  </si>
  <si>
    <t xml:space="preserve">Aditya Wanwari (Toast Inc)</t>
  </si>
  <si>
    <t xml:space="preserve">https://indianretailer.com/news/stand-coffee-expands-mumbai-footprint-new-juhu-outlet</t>
  </si>
  <si>
    <t xml:space="preserve">Indian origins/estates: Chikmagalur; Brew: Pour over, Espresso tonic</t>
  </si>
  <si>
    <t xml:space="preserve">2 of 3 read: https://indianretailer.com/news/stand-coffee-expands-mumbai-footprint-new-juhu-outlet https://www.restaurantindia.in/news/stand-by-coffee-unveils-in-mumbai.n21574</t>
  </si>
  <si>
    <t xml:space="preserve">C023</t>
  </si>
  <si>
    <t xml:space="preserve">Thought Coffee — Bandra flagship</t>
  </si>
  <si>
    <t xml:space="preserve">Yes — 'single-estate AA, roasted in-house' (Restaurant India)</t>
  </si>
  <si>
    <t xml:space="preserve">Single-estate AA Arabica roasted in-house; rum- and wine-barrel-aged coffees; imported Colombian Castillo special; QSR under 5 minutes.</t>
  </si>
  <si>
    <t xml:space="preserve">Own roastery (single-estate AA, roasted in-house)</t>
  </si>
  <si>
    <t xml:space="preserve">Imports Colombian Castillo for its special; a QSR brand scaling across Mumbai needs volume + consistency.</t>
  </si>
  <si>
    <t xml:space="preserve">Green coffee (single-estate AA + an Indian replacement for the Castillo) for their roaster.</t>
  </si>
  <si>
    <t xml:space="preserve">They roast: pitch green lots and an exclusive barrel-ageing lot as they densify across Mumbai.</t>
  </si>
  <si>
    <t xml:space="preserve">Mumbai-born quick-service specialty brand opening its Bandra flagship (Oct 2026 roundups); menu lists single-origin AA Arabica and barrel-aged coffees. Wave 4: Restaurant India (Sep 2026) says the beans are roasted in-house.</t>
  </si>
  <si>
    <t xml:space="preserve">Young brand building a menu of 'special' coffees — barrel-aged / experimental-process lots fit.</t>
  </si>
  <si>
    <t xml:space="preserve">Kush Kachhara, Kshitij Patil, Jhanvi Shah (founders)</t>
  </si>
  <si>
    <t xml:space="preserve">https://www.restaurantindia.in/news/thought-coffee-opens-bandra-flagship-as-mumbai-quick-service-coffee-market-expands.n17296</t>
  </si>
  <si>
    <t xml:space="preserve">Instagram not indexed by search yet — look up by name on Instagram</t>
  </si>
  <si>
    <t xml:space="preserve">Imported origins: Colombia; Processes / format: Single origin, Single estate</t>
  </si>
  <si>
    <t xml:space="preserve">2 of 3 read: https://www.restaurantindia.in/news/thought-coffee-opens-bandra-flagship-as-mumbai-quick-service-coffee-market-expands.n17296 https://www.passionateinmarketing.com/one-less-thought-thought-coffee-opens-in-bandra-with-quality-coffee/</t>
  </si>
  <si>
    <t xml:space="preserve">C024</t>
  </si>
  <si>
    <t xml:space="preserve">Tsubaki Artisanal Coffee</t>
  </si>
  <si>
    <t xml:space="preserve">Kandivali</t>
  </si>
  <si>
    <t xml:space="preserve">Suburban specialty with little competition — exclusive estates.</t>
  </si>
  <si>
    <t xml:space="preserve">New artisanal coffee spot (Foodies of India, Jun 2026).</t>
  </si>
  <si>
    <t xml:space="preserve">https://foodiesofindia.wordpress.com/2026/06/01/june-2026-new-restaurants-in-mumbai-you-need-to-visit/</t>
  </si>
  <si>
    <t xml:space="preserve">1 of 1 read: https://foodiesofindia.wordpress.com/2026/06/01/june-2026-new-restaurants-in-mumbai-you-need-to-visit/</t>
  </si>
  <si>
    <t xml:space="preserve">C068</t>
  </si>
  <si>
    <t xml:space="preserve">Cafe Lento — Pune</t>
  </si>
  <si>
    <t xml:space="preserve">All-day / food-led cafe</t>
  </si>
  <si>
    <t xml:space="preserve">Koregaon Park</t>
  </si>
  <si>
    <t xml:space="preserve">Single estate: Salawara Estate (Karnataka); coffee is the signature; Pune adds cocktails (raw mango wine, Lento espresso martini).</t>
  </si>
  <si>
    <t xml:space="preserve">Salawara Estate (roaster not named)</t>
  </si>
  <si>
    <t xml:space="preserve">Single-estate dependency.</t>
  </si>
  <si>
    <t xml:space="preserve">Second estate for a rotating pour-over + an espresso-martini-ready blend.</t>
  </si>
  <si>
    <t xml:space="preserve">Luna Hospitality (also The Second House, Goa) — one pitch covers Goa + Pune.</t>
  </si>
  <si>
    <t xml:space="preserve">Luna Hospitality's Goa cafe opened a 2,200 sq ft Pune outpost (Nod Jun 2026; Elle Decor Sep 2026); coffee + congee concept.</t>
  </si>
  <si>
    <t xml:space="preserve">Single-estate-minded team — pitch an estate exclusive for Pune.</t>
  </si>
  <si>
    <t xml:space="preserve">@cafelento.in</t>
  </si>
  <si>
    <t xml:space="preserve">https://www.instagram.com/cafelento.in/</t>
  </si>
  <si>
    <t xml:space="preserve">Dishant Pritamani (co-founder, Luna Hospitality)</t>
  </si>
  <si>
    <t xml:space="preserve">https://yourstory.com/ys-life/the-second-house-goa-lento-cafe</t>
  </si>
  <si>
    <t xml:space="preserve">0 of 2 read: </t>
  </si>
  <si>
    <t xml:space="preserve">C069</t>
  </si>
  <si>
    <t xml:space="preserve">Momoka</t>
  </si>
  <si>
    <t xml:space="preserve">Prabhat Rd, Pune (opened 1 Aug 2026)</t>
  </si>
  <si>
    <t xml:space="preserve">Japanese kissaten: ceremonial Uji matcha, hojicha; coffee jelly latte, coconut-foam cold brew.</t>
  </si>
  <si>
    <t xml:space="preserve">~₹900 for two</t>
  </si>
  <si>
    <t xml:space="preserve">Coffee is secondary to matcha; no named roaster.</t>
  </si>
  <si>
    <t xml:space="preserve">A kissaten-style medium-dark blend + a cold brew lot.</t>
  </si>
  <si>
    <t xml:space="preserve">Chef-founder Brainard Colaco — offer to co-design a hand-drip menu.</t>
  </si>
  <si>
    <t xml:space="preserve">Japanese kissaten-style flagship opened Aug 2026 with specialty beverages, desserts and yoshoku food. Instagram bio: 'India's first kissaten' — Japanese coffee &amp; tea room; Prabhat Road marked 'now open' (Jul 2026).</t>
  </si>
  <si>
    <t xml:space="preserve">Kissaten culture = hand-drip / siphon — pitch light-roast single estates.</t>
  </si>
  <si>
    <t xml:space="preserve">@momoka.india</t>
  </si>
  <si>
    <t xml:space="preserve">https://www.instagram.com/momoka.india/</t>
  </si>
  <si>
    <t xml:space="preserve">Chef Brainard Colaco</t>
  </si>
  <si>
    <t xml:space="preserve">https://www.restaurantindia.in/news/momoka-opens-japanese-kissaten-inspired-caf-on-punes-prabhat-road.n16884</t>
  </si>
  <si>
    <t xml:space="preserve">Brew: Cold brew</t>
  </si>
  <si>
    <t xml:space="preserve">3 of 3 read: https://www.restaurantindia.in/news/momoka-opens-japanese-kissaten-inspired-caf-on-punes-prabhat-road.n16884 https://indianretailer.com/franchisetv/archives/news/momoka-brings-japanese-kissaten-culture-pune-new-flagship-cafe https://www.passionateinmarketing.com/momoka-brings-the-spirit-of-a-japanese-kissaten-to-pune/</t>
  </si>
  <si>
    <t xml:space="preserve">C124</t>
  </si>
  <si>
    <t xml:space="preserve">Indiroom (at Pincode Bungalow)</t>
  </si>
  <si>
    <t xml:space="preserve">Goa</t>
  </si>
  <si>
    <t xml:space="preserve">Assagao</t>
  </si>
  <si>
    <t xml:space="preserve">No</t>
  </si>
  <si>
    <t xml:space="preserve">Indian specialty coffee roasted by Caarabi.</t>
  </si>
  <si>
    <t xml:space="preserve">Caarabi Coffee (New Delhi)</t>
  </si>
  <si>
    <t xml:space="preserve">Single-roaster.</t>
  </si>
  <si>
    <t xml:space="preserve">Second roaster / Goa-exclusive estate.</t>
  </si>
  <si>
    <t xml:space="preserve">Approach via Pincode by Kunal Kapur team.</t>
  </si>
  <si>
    <t xml:space="preserve">Opened Feb 2026; serves Indian specialty coffee roasted by Caarabi Coffee, New Delhi.</t>
  </si>
  <si>
    <t xml:space="preserve">Proven external-roaster buyer — pitch as second/rotating roaster.</t>
  </si>
  <si>
    <t xml:space="preserve">(via @pincode_india)</t>
  </si>
  <si>
    <t xml:space="preserve">Inside Pincode by chef Kunal Kapur (@pincode_india)</t>
  </si>
  <si>
    <t xml:space="preserve">https://www.district.in/blog/speciality-coffee-cafes-goa</t>
  </si>
  <si>
    <t xml:space="preserve">Roasters named in articles about it: Caarabi Coffee Roasters; Brew: Tasting flight / omakase, V60, Pour over, Cold brew</t>
  </si>
  <si>
    <t xml:space="preserve">1 of 2 read: https://www.baristamagazine.com/exploring-the-vibrant-specialty-coffee-culture-of-goa-india/</t>
  </si>
  <si>
    <t xml:space="preserve">C156</t>
  </si>
  <si>
    <t xml:space="preserve">More Over Coffee</t>
  </si>
  <si>
    <t xml:space="preserve">Central</t>
  </si>
  <si>
    <t xml:space="preserve">Chhattisgarh</t>
  </si>
  <si>
    <t xml:space="preserve">Raipur</t>
  </si>
  <si>
    <t xml:space="preserve">Civil Lines + Devendra Nagar (Raipur), Nehru Nagar (Bhilai), Vyapar Vihar (Bilaspur)</t>
  </si>
  <si>
    <t xml:space="preserve">'No long menu' — six drinks at a specialty bar (est. 2024).</t>
  </si>
  <si>
    <t xml:space="preserve">Instagram: 'Speciality Coffee &amp; More' — relaunched in Civil Lines, Raipur. Instagram lists 4 outlets across Raipur, Bhilai and Bilaspur — Chhattisgarh's only specialty-labelled multi-outlet brand.</t>
  </si>
  <si>
    <t xml:space="preserve">Relaunch + pour-over menu — Raipur's lone specialty lead.</t>
  </si>
  <si>
    <t xml:space="preserve">@moreovercoffee_india</t>
  </si>
  <si>
    <t xml:space="preserve">https://www.instagram.com/moreovercoffee_india/</t>
  </si>
  <si>
    <t xml:space="preserve">Wave 4: the only web page found is a demo site (moc-demo.vercel.app) — not used as its website.</t>
  </si>
  <si>
    <t xml:space="preserve">C158</t>
  </si>
  <si>
    <t xml:space="preserve">Carbon — Vaishali Nagar (3rd outpost)</t>
  </si>
  <si>
    <t xml:space="preserve">Rajasthan</t>
  </si>
  <si>
    <t xml:space="preserve">Jaipur</t>
  </si>
  <si>
    <t xml:space="preserve">Ashok Nagar, Tilak Nagar, Vaishali Nagar (Jaipur)</t>
  </si>
  <si>
    <t xml:space="preserve">18–96-hour cold brews (berry, mint-lime, whiskey barrel), Black Carbon Latte, Jamun Coffee Tonic, coffee mixology.</t>
  </si>
  <si>
    <t xml:space="preserve">~₹900 for two; Whiskey Barrel Cold Brew ₹220</t>
  </si>
  <si>
    <t xml:space="preserve">Cold-brew-heavy menu across 3 outlets.</t>
  </si>
  <si>
    <t xml:space="preserve">Cold-brew-optimised naturals in bulk + espresso blend; co-developed coffee tonic.</t>
  </si>
  <si>
    <t xml:space="preserve">3-outlet local brand — pitch volume pricing.</t>
  </si>
  <si>
    <t xml:space="preserve">Third outpost pairing specialty coffee with a design-forward space (2026 roundup). Instagram: craft coffee bar, cold-brew focus, 9am–midnight.</t>
  </si>
  <si>
    <t xml:space="preserve">Expanding local brand.</t>
  </si>
  <si>
    <t xml:space="preserve">@carbon.jaipur</t>
  </si>
  <si>
    <t xml:space="preserve">https://www.instagram.com/carbon.jaipur/</t>
  </si>
  <si>
    <t xml:space="preserve">https://www.restaurantindia.in/news/carbon-opens-third-caf-in-jaipur-with-new-vaishali-nagar-outlet.n16924</t>
  </si>
  <si>
    <t xml:space="preserve">Single source</t>
  </si>
  <si>
    <t xml:space="preserve">Imported origins: Vietnam; Processes / format: Experimental lot; Brew: Cold brew, V60, Siphon; Prices: Whiskey Cold Brew, INR 220 | Vanilla Strawberry Iced Latte, INR 220; ₹ 900 for two</t>
  </si>
  <si>
    <t xml:space="preserve">5 of 5 read: https://www.eazydiner.com/jaipur/carbon-ashok-nagar-jaipur-690551/reviews https://www.restaurantindia.in/news/carbon-opens-third-caf-in-jaipur-with-new-vaishali-nagar-outlet.n16924 https://curlytales.com/india/food/whiskey-barrel-cold-brew-to-au-chocolate-carbon-brings-a-new-cafe-culture-in-jaipur/ https://indianretailer.com/news/carbon-jaipur-expands-second-outlet-jaipur-cafe-market</t>
  </si>
  <si>
    <t xml:space="preserve">C159</t>
  </si>
  <si>
    <t xml:space="preserve">Jacob's Brew House — Jaipur</t>
  </si>
  <si>
    <t xml:space="preserve">JLN Marg, Malviya Nagar</t>
  </si>
  <si>
    <t xml:space="preserve">Likely in-house ('controlled roasting')</t>
  </si>
  <si>
    <t xml:space="preserve">Pour-over and espresso with tasting cards (origin, farm, producer, process, roast); signatures The Jacobs Sensation, Cloud 101.</t>
  </si>
  <si>
    <t xml:space="preserve">~₹1,500 for two</t>
  </si>
  <si>
    <t xml:space="preserve">Sophisticated, card-driven menu that needs a steady supply of traceable lots.</t>
  </si>
  <si>
    <t xml:space="preserve">Competition-grade lots with full farm data (green or roasted); co-branded tasting cards.</t>
  </si>
  <si>
    <t xml:space="preserve">Speak to the coffee lead directly: send farm-level lot sheets — their tasting-card format rewards traceable single estates.</t>
  </si>
  <si>
    <t xml:space="preserve">Opened Mar 2026; design-led all-day cafe; specialty programme led by UAE Barista Champion Sonam Dorje Sherpa.</t>
  </si>
  <si>
    <t xml:space="preserve">Champion-led programme = appetite for competition-grade lots.</t>
  </si>
  <si>
    <t xml:space="preserve">Sonam Dorje Sherpa (UAE Barista Champion) leads the coffee programme</t>
  </si>
  <si>
    <t xml:space="preserve">https://thenodmag.com/content/jacobs-brew-house-jaipur-cafe-coffee-house-review</t>
  </si>
  <si>
    <t xml:space="preserve">Instagram unconfirmed (@jacobs_brew may be a different shop)</t>
  </si>
  <si>
    <t xml:space="preserve">Imported origins: Vietnam; Brew: Cold brew, Pour over; Signals: Now open</t>
  </si>
  <si>
    <t xml:space="preserve">4 of 4 read: https://thenodmag.com/content/jacobs-brew-house-jaipur-cafe-coffee-house-review https://www.restaurantindia.in/news/restaurant-india-news-jacob-s-brew-house-brings-specialty-coffee-focus-to-jaipur.n15791 https://www.restaurantindia.in/news/restaurant-india-news-jacob-s-brew-house-opens-in-jaipur-introducing-a-design-led-specialty-coffee.n15452 https://oteats.outlooktraveller.com/amp/story/reviews/the-pesto-gnocchi-at-jacobs-is-all-you-need-to-make-sundays-saucy</t>
  </si>
  <si>
    <t xml:space="preserve">C160</t>
  </si>
  <si>
    <t xml:space="preserve">Traut Coffee House</t>
  </si>
  <si>
    <t xml:space="preserve">A-2, Ajmer Rd, Vidhyut Nagar</t>
  </si>
  <si>
    <t xml:space="preserve">Signature Pistachio Crème Latte; espresso-led.</t>
  </si>
  <si>
    <t xml:space="preserve">~₹800 for two</t>
  </si>
  <si>
    <t xml:space="preserve">No published filter / single-origin line.</t>
  </si>
  <si>
    <t xml:space="preserve">Espresso blend that holds up in milk + one single-estate filter to add depth.</t>
  </si>
  <si>
    <t xml:space="preserve">Weeks-old, founder-run — walk-in tasting with founders Aalia Agarwal &amp; Ujjwal Bijarnia.</t>
  </si>
  <si>
    <t xml:space="preserve">Outlook Traveller (26 Sep 2026): Jaipur's newest coffee hotspot, inventive coffee + broad food menu. Weekend queues reported; open till 11pm.</t>
  </si>
  <si>
    <t xml:space="preserve">Opened weeks ago — supplier relationships still forming.</t>
  </si>
  <si>
    <t xml:space="preserve">https://www.eazydiner.com/jaipur/traut-coffee-house-vidhyut-nagar-jaipur-719695</t>
  </si>
  <si>
    <t xml:space="preserve">Aalia Agarwal &amp; Ujjwal Bijarnia (founders)</t>
  </si>
  <si>
    <t xml:space="preserve">https://www.outlooktraveller.com/ot-pours/traut-coffee-house-opens-doors-as-jaipurs-newest-coffee-hotspot</t>
  </si>
  <si>
    <t xml:space="preserve">Imported origins: Java; Prices: aut Coffee House? The cost of two at Traut Coffee House is ₹ 800. You can save EXTRA; ₹ 800 for two</t>
  </si>
  <si>
    <t xml:space="preserve">2 of 2 read: https://www.eazydiner.com/jaipur/traut-coffee-house-vidhyut-nagar-jaipur-719695 https://www.outlooktraveller.com/ot-pours/traut-coffee-house-opens-doors-as-jaipurs-newest-coffee-hotspot</t>
  </si>
  <si>
    <t xml:space="preserve">C177</t>
  </si>
  <si>
    <t xml:space="preserve">Common Time — Khan Market</t>
  </si>
  <si>
    <t xml:space="preserve">Khan Market (Khan Kissaten) + Lodhi Colony + Basant Lok</t>
  </si>
  <si>
    <t xml:space="preserve">Rotating single-origin pour-overs; iced brown-butter latte, Earl Grey flat white, Competition Latte; no syrups.</t>
  </si>
  <si>
    <t xml:space="preserve">Hand-drip single estates + kissaten blend.</t>
  </si>
  <si>
    <t xml:space="preserve">Group deal with Bhatia Hospitality: Common Time (3 outlets) + Sidewalk (5 outlets) — pitch a rotating single-origin for Common Time and a house blend for Sidewalk.</t>
  </si>
  <si>
    <t xml:space="preserve">Time Out review 4/5. Lab Mag (Sep 2026): hidden cafe drawing on Japanese kissaten culture — design, music, coffee.</t>
  </si>
  <si>
    <t xml:space="preserve">Blend + single estate.</t>
  </si>
  <si>
    <t xml:space="preserve">Jaivardhan &amp; Sagar Bhatia (Bhatia Hospitality Group)</t>
  </si>
  <si>
    <t xml:space="preserve">https://www.thelabmagofficial.com/new-restaurants-cafes-and-bars-to-try-across-india-this-september/</t>
  </si>
  <si>
    <t xml:space="preserve">Processes / format: Single origin; Brew: Pour over, Cold brew, Flat white</t>
  </si>
  <si>
    <t xml:space="preserve">3 of 4 read: https://www.timeout.com/delhi/restaurants/common-time https://www.restaurantindia.in/news/restaurant-india-news-common-time-opens-second-delhi-caf-in-basant-lok-targets-premium-neighbourhood.n15317 https://indianretailer.com/news/common-time-opens-second-delhi-cafe-basant-lok-market</t>
  </si>
  <si>
    <t xml:space="preserve">C178</t>
  </si>
  <si>
    <t xml:space="preserve">Cortasso Coffee and Bakehouse</t>
  </si>
  <si>
    <t xml:space="preserve">Bakery / patisserie cafe</t>
  </si>
  <si>
    <t xml:space="preserve">Sunder Nursery, Nizamuddin</t>
  </si>
  <si>
    <t xml:space="preserve">Rum-barrel-aged roast coffee, winter spice latte; opened 2025.</t>
  </si>
  <si>
    <t xml:space="preserve">Named in The Nod's 'new wave' of south Delhi coffee (May 2026).</t>
  </si>
  <si>
    <t xml:space="preserve">https://thenodmag.com/content/the-drop-hauz-khas-delhi-indian-specialty-coffee-roastery-review</t>
  </si>
  <si>
    <t xml:space="preserve">Processes / format: Guest roaster / rotating</t>
  </si>
  <si>
    <t xml:space="preserve">2 of 4 read: https://thenodmag.com/content/the-drop-hauz-khas-delhi-indian-specialty-coffee-roastery-review https://urbanaut.app/spot/delhi-coffee-crawl-7</t>
  </si>
  <si>
    <t xml:space="preserve">C179</t>
  </si>
  <si>
    <t xml:space="preserve">In Good Co.</t>
  </si>
  <si>
    <t xml:space="preserve">GK-2 (first outlet)</t>
  </si>
  <si>
    <t xml:space="preserve">'Progressive Indianness': Americano beside filter coffee; signatures The Indulgent, The Romantic, The Optimist, The Conversationalist; hojicha mocha.</t>
  </si>
  <si>
    <t xml:space="preserve">~₹800 for two; Swiggy 4.2</t>
  </si>
  <si>
    <t xml:space="preserve">One-origin roster (Chikkamagaluru AA) — no rotating filter or second region.</t>
  </si>
  <si>
    <t xml:space="preserve">Second estate for a rotating filter / seasonal special; Indian-origin storytelling to match its 'modern Indian' positioning.</t>
  </si>
  <si>
    <t xml:space="preserve">Corporate-backed (Aditya Birla dining) — pitch a supply partnership for future outlets; Instagram DM + LinkedIn to the dining arm.</t>
  </si>
  <si>
    <t xml:space="preserve">Cafe-meets-cultural-hub built around coffee, food and community (The Nod, Jun 2026). Instagram: 'India's good coffee in good company' — modern Indian cafe, specialty coffee &amp; comfort food; account sits under Aditya Birla dining (~5.2k followers). Corporate-backed: likely to add outlets.</t>
  </si>
  <si>
    <t xml:space="preserve">Corporate-backed concept with expansion potential — pitch a supply partnership, not a single bag.</t>
  </si>
  <si>
    <t xml:space="preserve">@ingoodcoindia</t>
  </si>
  <si>
    <t xml:space="preserve">https://www.instagram.com/ingoodcoindia/</t>
  </si>
  <si>
    <t xml:space="preserve">https://thenodmag.com/content/where-to-eat-this-june-in-delhi-ncr</t>
  </si>
  <si>
    <t xml:space="preserve">Indian origins/estates: Chikmagalur; Imported origins: Vietnam; Processes / format: Single estate; Brew: Cold brew, Tasting flight / omakase; ₹800 for two</t>
  </si>
  <si>
    <t xml:space="preserve">3 of 5 read: https://thenodmag.com/content/where-to-eat-this-june-in-delhi-ncr https://curlytales.com/delhis-in-good-co-pampered-me-with-upma-balls-tahini-coffee-in-a-baby-blue-setting/ https://www.outlooktraveller.com/ot-pours/the-sulaimani-iced-tea-at-in-good-co-is-enough-reason-to-plan-a-visit</t>
  </si>
  <si>
    <t xml:space="preserve">C180</t>
  </si>
  <si>
    <t xml:space="preserve">The Drop</t>
  </si>
  <si>
    <t xml:space="preserve">G-8, Ground Floor, Hauz Khas Market (35 seats)</t>
  </si>
  <si>
    <t xml:space="preserve">No (Subko collaboration)</t>
  </si>
  <si>
    <t xml:space="preserve">House blend developed with Subko from Tamil Nadu estates (Orchardale, Bison Valley, Moganad); agave-barrel-aged (Maya Pistola) hot and iced pour-overs; new menu monthly.</t>
  </si>
  <si>
    <t xml:space="preserve">Developed with Subko (Mumbai)</t>
  </si>
  <si>
    <t xml:space="preserve">₹1,000–1,800 for two (Swiggy / EazyDiner / OT)</t>
  </si>
  <si>
    <t xml:space="preserve">All-Tamil Nadu, single-partner line-up; no Northeast, Karnataka, Odisha or Araku coffees; rotation needs new lots every month.</t>
  </si>
  <si>
    <t xml:space="preserve">A guest 'drop' month of non-TN estates (Northeast / Odisha / Karnataka micro-lot or co-ferment), co-branded limited release.</t>
  </si>
  <si>
    <t xml:space="preserve">Pitch Passcode Hospitality (also runs Saz, Jamun, PCO) — one deal can travel across the group. Lead with a 3-lot cupping flight.</t>
  </si>
  <si>
    <t xml:space="preserve">Passcode Hospitality's coffee-and-cocktail bar (May 2026); rotates its craft coffee menu monthly.</t>
  </si>
  <si>
    <t xml:space="preserve">Monthly rotation needs new lots — pitch a guest month featuring your estates.</t>
  </si>
  <si>
    <t xml:space="preserve">https://passcodehospitality.com/drop</t>
  </si>
  <si>
    <t xml:space="preserve">Passcode Hospitality</t>
  </si>
  <si>
    <t xml:space="preserve">https://www.outlooktraveller.com/ot-pours/drop-in-at-the-drop-and-find-your-jaws-dropped</t>
  </si>
  <si>
    <t xml:space="preserve">Roasters named in articles about it: Subko Coffee Roasters; Indian origins/estates: Tamil Nadu; Imported origins: Colombia; Processes / format: Guest roaster / rotating, Single origin, House blend; Varietals: Robusta; Brew: Pour over</t>
  </si>
  <si>
    <t xml:space="preserve">+91 98109 61802</t>
  </si>
  <si>
    <t xml:space="preserve">5 of 6 read: https://passcodehospitality.com/drop https://passcodehospitality.com/about-us https://passcodehospitality.com/brands/drop/menu/ https://www.outlooktraveller.com/ot-pours/drop-in-at-the-drop-and-find-your-jaws-dropped</t>
  </si>
  <si>
    <t xml:space="preserve">C181</t>
  </si>
  <si>
    <t xml:space="preserve">Therefore</t>
  </si>
  <si>
    <t xml:space="preserve">Meherchand Market, Lodhi Colony</t>
  </si>
  <si>
    <t xml:space="preserve">All-day cafe turning cocktail bar; specialty coffee on menu (Outlook Traveller, 21 Oct 2026).</t>
  </si>
  <si>
    <t xml:space="preserve">Days-old opening — fastest-moving lead in Delhi.</t>
  </si>
  <si>
    <t xml:space="preserve">https://www.outlooktraveller.com/ot-pours</t>
  </si>
  <si>
    <t xml:space="preserve">Only one press mention (OT Pours, Oct 2026) — confirm name/handle Wave 4: not found in a web search beyond its source roundup — confirm it is open (Instagram / Google Maps) before outreach.</t>
  </si>
  <si>
    <t xml:space="preserve">C202</t>
  </si>
  <si>
    <t xml:space="preserve">Altogether Experimental (ATE) — Omakase</t>
  </si>
  <si>
    <t xml:space="preserve">Haryana</t>
  </si>
  <si>
    <t xml:space="preserve">Gurugram</t>
  </si>
  <si>
    <t xml:space="preserve">Sector 59, Gurugram</t>
  </si>
  <si>
    <t xml:space="preserve">Six-seat coffee omakase ('Textures': ethereal, slippery, syrupy, transient); Peru Geisha, clarified coffee, whiskey-barrel-aged course.</t>
  </si>
  <si>
    <t xml:space="preserve">Caarabi Coffee (sister company; format pioneered by Caarabi)</t>
  </si>
  <si>
    <t xml:space="preserve">Ticketed via District</t>
  </si>
  <si>
    <t xml:space="preserve">Uses an imported Peru Geisha for the headline course.</t>
  </si>
  <si>
    <t xml:space="preserve">An Indian rare-lot course (e.g. a Geisha/SL795 micro-lot) to replace the import.</t>
  </si>
  <si>
    <t xml:space="preserve">Hard to displace Caarabi as house roaster — pitch a single omakase course / limited edition rather than supply.</t>
  </si>
  <si>
    <t xml:space="preserve">May 2026: four-course coffee + dessert omakase, iced pour-overs to dessert-like brews; bookings on District. Instagram ~24k followers; sister accounts @ate_patisserie, @ate_mini — 4+ outlets. Wave 4: Restaurant India says the omakase format comes from Caarabi Coffee, ATE's sister company.</t>
  </si>
  <si>
    <t xml:space="preserve">Omakase = curated rare lots — pitch micro-lots &amp; experimental processes.</t>
  </si>
  <si>
    <t xml:space="preserve">@ate_altogetherexperimental</t>
  </si>
  <si>
    <t xml:space="preserve">https://www.instagram.com/ate_altogetherexperimental/</t>
  </si>
  <si>
    <t xml:space="preserve">Chef Anukriti Anand (founder; Instagram @chefanukritianand)</t>
  </si>
  <si>
    <t xml:space="preserve">https://thenodmag.com/content/new-restaurants-bars-menus-delhi-may-2026</t>
  </si>
  <si>
    <t xml:space="preserve">Imported origins: Colombia, Costa Rica; Processes / format: Experimental lot; Varietals: Geisha / Gesha; Brew: Tasting flight / omakase, Affogato, Cold brew, Cortado; Commodity brands: Starbucks; Prices: Coffee • ₹1200 for two | Coffee • ₹2500 for two | ₹2500 for two • Coffee • Continental; ₹1200 for two</t>
  </si>
  <si>
    <t xml:space="preserve">6 of 7 read: https://thenodmag.com/content/new-restaurants-bars-menus-delhi-may-2026 https://www.restaurantindia.in/news/restaurant-india-news-ate-omakase-introduces-omakase-style-coffee-format-in-gurugram.n16015 https://www.indianretailer.com/franchisetv/archives/news/ate-omakase-introduces-curated-coffee-format-gurugram https://www.esquireindia.co.in/amp/story/food-and-drinks/where-to-drink/ate-omakase-coffee-in-gurgaon</t>
  </si>
  <si>
    <t xml:space="preserve">C203</t>
  </si>
  <si>
    <t xml:space="preserve">Oro</t>
  </si>
  <si>
    <t xml:space="preserve">Beans from North East India, Goa and Tamil Nadu; pour-over or classic; tiramisu latte, chocolate-berry cold brew.</t>
  </si>
  <si>
    <t xml:space="preserve">No Karnataka / Coorg / Araku / Odisha coffees on the published list.</t>
  </si>
  <si>
    <t xml:space="preserve">An exclusive estate for the flagship plus supply for the planned NCR outlets.</t>
  </si>
  <si>
    <t xml:space="preserve">Founder-led (Tisha Aggarwal) — founder outreach with a tasting kit; position as expansion partner.</t>
  </si>
  <si>
    <t xml:space="preserve">Flagship opened Aug/Sep 2026 by Tisha Aggarwal; plans NCR expansion. Curly Tales Oct 2026: 'new specialty coffee and all-day cafe in Gurgaon… design-led space'.</t>
  </si>
  <si>
    <t xml:space="preserve">Already multi-origin buyer — add your estate; future NCR outlets.</t>
  </si>
  <si>
    <t xml:space="preserve">Tisha Aggarwal (founder)</t>
  </si>
  <si>
    <t xml:space="preserve">https://www.restaurantindia.in/news/oro-opens-flagship-specialty-coffee-caf-in-gurugram.n17284</t>
  </si>
  <si>
    <t xml:space="preserve">Indian origins/estates: Tamil Nadu; Brew: Pour over, Cold brew</t>
  </si>
  <si>
    <t xml:space="preserve">2 of 2 read: https://www.restaurantindia.in/news/oro-opens-flagship-specialty-coffee-caf-in-gurugram.n17284 https://indianretailer.com/franchisetv/archives/news/specialty-coffee-brand-oro-opens-flagship-cafe-gurugram</t>
  </si>
  <si>
    <t xml:space="preserve">C213</t>
  </si>
  <si>
    <t xml:space="preserve">Lumie — Fine Bakes &amp; Speciality Coffee</t>
  </si>
  <si>
    <t xml:space="preserve">Uttar Pradesh</t>
  </si>
  <si>
    <t xml:space="preserve">Lucknow</t>
  </si>
  <si>
    <t xml:space="preserve">Newer spot: croissants, desserts, specialty coffee (Knocksense).</t>
  </si>
  <si>
    <t xml:space="preserve">https://www.knocksense.com/lucknow/5-new-coffee-spots-in-lucknow-worth-adding-to-your-caf%C3%A9-hopping-list</t>
  </si>
  <si>
    <t xml:space="preserve">C214</t>
  </si>
  <si>
    <t xml:space="preserve">One PourCent</t>
  </si>
  <si>
    <t xml:space="preserve">Satya Tower, Vibhuti Khand, Gomti Nagar</t>
  </si>
  <si>
    <t xml:space="preserve">Known for cold coffee; reviews mixed on espresso.</t>
  </si>
  <si>
    <t xml:space="preserve">Just opened (Jan 2026): coffee 'tested, tasted and trusted' (Knocksense).</t>
  </si>
  <si>
    <t xml:space="preserve">₹ 1200 for two; Signals: Coming soon</t>
  </si>
  <si>
    <t xml:space="preserve">3 of 4 read: https://www.eazydiner.com/lucknow/one-pourcent-gomti-nagar-lucknow-712033 https://www.knocksense.com/lucknow/5-new-coffee-spots-in-lucknow-worth-adding-to-your-caf%C3%A9-hopping-list https://www.knocksense.com/lucknow/5-new-coffee-spots-in-lucknow-worth-adding-to-your-café-hopping-list</t>
  </si>
  <si>
    <t xml:space="preserve">C250</t>
  </si>
  <si>
    <t xml:space="preserve">Flameback Cafe &amp; Kitchen</t>
  </si>
  <si>
    <t xml:space="preserve">East</t>
  </si>
  <si>
    <t xml:space="preserve">West Bengal</t>
  </si>
  <si>
    <t xml:space="preserve">Kolkata</t>
  </si>
  <si>
    <t xml:space="preserve">Purna Das Rd (25 seats) + new Tilak Rd outpost near Lake Mall (1,000 sq ft)</t>
  </si>
  <si>
    <t xml:space="preserve">Ethiopian Guji-grade and Colombian brews; specialty teas (second-flush Darjeeling, Risheehat Muscatel).</t>
  </si>
  <si>
    <t xml:space="preserve">Coffee roster is 100% imported.</t>
  </si>
  <si>
    <t xml:space="preserve">Indian single estates — Northeast / Darjeeling-region coffee fits a Kolkata tea-and-coffee story.</t>
  </si>
  <si>
    <t xml:space="preserve">Second outlet just opened — pitch an Indian estate for the Tilak Road menu.</t>
  </si>
  <si>
    <t xml:space="preserve">Original 500 sq ft cafe opened 2025; t2 'New cafe alert' on 1,000 sq ft Tilak Road extension.</t>
  </si>
  <si>
    <t xml:space="preserve">Expanding + imports beans — pitch Indian single estates.</t>
  </si>
  <si>
    <t xml:space="preserve">Shriti Pattanayak (owner)</t>
  </si>
  <si>
    <t xml:space="preserve">https://t2online.in/goodlife/food-beverage/flameback-cafe---kitchen-is-where-global-flavours-pair-up-with-world-coffee--t2-checked-it-out/2001719</t>
  </si>
  <si>
    <t xml:space="preserve">Imported origins: Ethiopia, Guji, Colombia; ₹800 for two</t>
  </si>
  <si>
    <t xml:space="preserve">2 of 2 read: https://t2online.in/goodlife/food-beverage/flameback-cafe---kitchen-is-where-global-flavours-pair-up-with-world-coffee--t2-checked-it-out/2001719 https://t2online.in/goodlife/food-beverage/new-cafe-alert--why-flameback-s-cozy-tilak-road-outpost-is-the-ultimate-hangout-spot-for-your-squad/2006388</t>
  </si>
  <si>
    <t xml:space="preserve">C007</t>
  </si>
  <si>
    <t xml:space="preserve">Brevé (Running Late by Brevé)</t>
  </si>
  <si>
    <t xml:space="preserve">Brevé 2.0, Shop G-2 Mount Apartment, St John Baptist Rd, Bandra W</t>
  </si>
  <si>
    <t xml:space="preserve">Espresso-led specialty menu alongside build-your-own breakfast boards; 36 seats; runs Mumbai's first cafe-led run club ('Running Late').</t>
  </si>
  <si>
    <t xml:space="preserve">~₹1,000 for two</t>
  </si>
  <si>
    <t xml:space="preserve">Co-branded run-club blend, post-run cold brew, retail bags for the community.</t>
  </si>
  <si>
    <t xml:space="preserve">Pitch a 'post-run' cold brew + a rotating single estate; offer to sponsor a run-club morning with a tasting of 3 Indian estates.</t>
  </si>
  <si>
    <t xml:space="preserve">36-seat flagship built around 'Mumbai's first cafe-led run club'; Brevé Bakery (Bandra W) and 'Basque by breve' also hiring baristas — expanding.</t>
  </si>
  <si>
    <t xml:space="preserve">Usman &amp; Farhaz Bhadelia (founders)</t>
  </si>
  <si>
    <t xml:space="preserve">https://www.restaurantindia.in/news/restaurant-india-news-brev-opens-new-flagship-caf-in-bandra-expands-community-focused-coffee-concept.n16397</t>
  </si>
  <si>
    <t xml:space="preserve">Brew: Cold brew; ₹1000 for two</t>
  </si>
  <si>
    <t xml:space="preserve">3 of 3 read: https://www.restaurantindia.in/news/restaurant-india-news-brev-opens-new-flagship-caf-in-bandra-expands-community-focused-coffee-concept.n16397 https://www.freepressjournal.in/lifestyle/build-your-own-breakfast-board-at-mumbais-newest-caf-run-club-brev-20-that-doesnt-compromise-on-protein-calories https://curlytales.com/bandras-cafe-breve-is-where-your-gym-goals-and-cake-cravings-finally-shake-hands/</t>
  </si>
  <si>
    <t xml:space="preserve">C008</t>
  </si>
  <si>
    <t xml:space="preserve">Cocoa &amp; Katli</t>
  </si>
  <si>
    <t xml:space="preserve">Malad (1,050 sq ft)</t>
  </si>
  <si>
    <t xml:space="preserve">Specialty coffee paired with 'mindful' low-sugar desserts; coffee details not published.</t>
  </si>
  <si>
    <t xml:space="preserve">Launched 21 Oct 2026 by Harsh Kedia &amp; Arihant Jain; specialty coffee programme alongside desserts and all-day menu.</t>
  </si>
  <si>
    <t xml:space="preserve">Brand-new — still fixing suppliers; pitch a house espresso blend of Indian estates.</t>
  </si>
  <si>
    <t xml:space="preserve">@cocoaandkatli</t>
  </si>
  <si>
    <t xml:space="preserve">https://www.instagram.com/cocoaandkatli/</t>
  </si>
  <si>
    <t xml:space="preserve">Harsh Kedia (chef) &amp; Arihant Jain</t>
  </si>
  <si>
    <t xml:space="preserve">https://aninews.in/news/business/harsh-kedia-and-arihant-jain-launch-cocoa-amp-katli-a-caf233-that-redefines-mindful-indulgence-for-the-conscious-mumbaikar20261021121947/</t>
  </si>
  <si>
    <t xml:space="preserve">Imported origins: Vietnam</t>
  </si>
  <si>
    <t xml:space="preserve">2 of 3 read: https://theprint.in/ani-press-releases/harsh-kedia-and-arihant-jain-launch-cocoa-katli-a-cafe-that-redefines-mindful-indulgence-for-the-conscious-mumbaikar/3077520/ https://curlytales.com/india/food/coffee-desserts-mindful-indulgence-harsh-kedia-aka-a-diabetic-chef-opens-new-cafe-in-malad/</t>
  </si>
  <si>
    <t xml:space="preserve">C009</t>
  </si>
  <si>
    <t xml:space="preserve">Javaphile</t>
  </si>
  <si>
    <t xml:space="preserve">Worli flagship (Jan 2026) + Pali Hill, Bandra; sister venue Shelter (Versova)</t>
  </si>
  <si>
    <t xml:space="preserve">Espresso drinks + flavoured cold brews (citrus, elderflower, sweet lime, cucumber-cream) + manual brews (Chemex, AeroPress, pour-over).</t>
  </si>
  <si>
    <t xml:space="preserve">Roaster not named; flavoured cold brews suit a dedicated cold-brew lot.</t>
  </si>
  <si>
    <t xml:space="preserve">Group pitch across Javaphile Worli, Pali Hill and Shelter: one cold-brew lot + one manual-brew single estate.</t>
  </si>
  <si>
    <t xml:space="preserve">Comfort-first cafe focused on great coffee (Foodies of India, Jan 2026).</t>
  </si>
  <si>
    <t xml:space="preserve">https://www.restaurantindia.in/news/restaurant-india-news-javaphile-caf-opens-in-worli-mumbai.n14931</t>
  </si>
  <si>
    <t xml:space="preserve">3 of 4 read: https://www.restaurantindia.in/news/restaurant-india-news-javaphile-caf-opens-in-worli-mumbai.n14931 https://www.cosmopolitan.in/life/features/story/this-worli-cafe-is-all-about-comfort-caffeine-and-slow-sips-1338113-2026-01-29 https://www.indianretailer.com/news/javaphile-cafe-arrives-worli-deepens-footprint-mumbai</t>
  </si>
  <si>
    <t xml:space="preserve">C010</t>
  </si>
  <si>
    <t xml:space="preserve">Pouring Veranda</t>
  </si>
  <si>
    <t xml:space="preserve">1 of 2 read: https://foodiesofindia.wordpress.com/2026/04/02/20-new-restaurants-in-mumbai-to-check-out-april-2026/</t>
  </si>
  <si>
    <t xml:space="preserve">C011</t>
  </si>
  <si>
    <t xml:space="preserve">Rola</t>
  </si>
  <si>
    <t xml:space="preserve">Pali Hill, Bandra (opened 17 Aug 2026; 70 seats)</t>
  </si>
  <si>
    <t xml:space="preserve">Flat white, Spanish latte, coffee tonic, mochas; outdoor coffee cart at the entrance.</t>
  </si>
  <si>
    <t xml:space="preserve">~₹2,000 for two</t>
  </si>
  <si>
    <t xml:space="preserve">No filter or single-origin line.</t>
  </si>
  <si>
    <t xml:space="preserve">Single-estate tonic / filter line + espresso blend for the cart.</t>
  </si>
  <si>
    <t xml:space="preserve">Offer a cart-friendly espresso blend + one single estate for tonic drinks; propose a cart 'estate of the month'.</t>
  </si>
  <si>
    <t xml:space="preserve">All-day diner opened 17 Aug 2026; 70 covers; specialty coffee programme + outdoor coffee cart.</t>
  </si>
  <si>
    <t xml:space="preserve">Puneet Anand (Anandvan Resort)</t>
  </si>
  <si>
    <t xml:space="preserve">https://indianretailer.com/news/rola-opens-new-all-day-diner-bandra</t>
  </si>
  <si>
    <t xml:space="preserve">Brew: Flat white, Affogato</t>
  </si>
  <si>
    <t xml:space="preserve">2 of 2 read: https://indianretailer.com/news/rola-opens-new-all-day-diner-bandra https://www.esquireindia.co.in/food-and-drinks/what-to-eat/from-rola-to-the-mahjong-club-9-new-restaurants-and-cafés-in-mumbai-to-try-this-september</t>
  </si>
  <si>
    <t xml:space="preserve">C157</t>
  </si>
  <si>
    <t xml:space="preserve">The Usual</t>
  </si>
  <si>
    <t xml:space="preserve">Craft coffee + fruit matchas; sea-salt caramel and burnt-butter lattes; cranberry espresso tonic.</t>
  </si>
  <si>
    <t xml:space="preserve">Featured in Outlook Traveller's 'Jaipur is entering its coffee smart era' (Aug 2026).</t>
  </si>
  <si>
    <t xml:space="preserve">Dhyaan Kaur (founder)</t>
  </si>
  <si>
    <t xml:space="preserve">https://oteats.outlooktraveller.com/features/guides/jaipur-is-entering-its-coffee-smart-era-and-these-spots-prove-it</t>
  </si>
  <si>
    <t xml:space="preserve">Details thin</t>
  </si>
  <si>
    <t xml:space="preserve">Brew: Espresso tonic</t>
  </si>
  <si>
    <t xml:space="preserve">1 of 1 read: https://oteats.outlooktraveller.com/features/guides/jaipur-is-entering-its-coffee-smart-era-and-these-spots-prove-it</t>
  </si>
  <si>
    <t xml:space="preserve">C173</t>
  </si>
  <si>
    <t xml:space="preserve">CUP</t>
  </si>
  <si>
    <t xml:space="preserve">Coffee Under Palms — Oasis Bhawan LSC, Vasant Kunj</t>
  </si>
  <si>
    <t xml:space="preserve">Speciality Arabica; citrusy coffee-and-soda signature; menu still rolling out.</t>
  </si>
  <si>
    <t xml:space="preserve">New slow-paced cafe (Outlook Traveller Feb 2026 openings).</t>
  </si>
  <si>
    <t xml:space="preserve">New — blend + filter.</t>
  </si>
  <si>
    <t xml:space="preserve">https://www.oteats.outlooktraveller.com/features/guides/delhis-newest-openings-that-you-must-look-out-for-this-february</t>
  </si>
  <si>
    <t xml:space="preserve">C175</t>
  </si>
  <si>
    <t xml:space="preserve">Lizzu</t>
  </si>
  <si>
    <t xml:space="preserve">No. 18, Lodhi Colony Market (9 am–1 am)</t>
  </si>
  <si>
    <t xml:space="preserve">Espresso programme + wines on nitrogen + cocktails; Sicilian/Levantine food.</t>
  </si>
  <si>
    <t xml:space="preserve">All-day cafe + wine bar: specialty coffee, breads, wine, cocktails (Curly Tales Sep 2026; Lab Mag Oct 2026).</t>
  </si>
  <si>
    <t xml:space="preserve">https://www.thelabmagofficial.com/new-tables-for-october-the-delhi-ncr-restaurants-cafes-and-bars-to-try/</t>
  </si>
  <si>
    <t xml:space="preserve">2 of 2 read: https://www.thelabmagofficial.com/new-tables-for-october-the-delhi-ncr-restaurants-cafes-and-bars-to-try/ https://www.restaurantindia.in/news/lizzu-opens-in-lodhi-colony-with-all-day-caf-and-wine-bar-format.n17228</t>
  </si>
  <si>
    <t xml:space="preserve">C176</t>
  </si>
  <si>
    <t xml:space="preserve">Off Mrkt</t>
  </si>
  <si>
    <t xml:space="preserve">Green Park</t>
  </si>
  <si>
    <t xml:space="preserve">All-day spot with specialty coffee and creative bakes (Lab Mag, 1 Sep 2026).</t>
  </si>
  <si>
    <t xml:space="preserve">1 of 1 read: https://www.thelabmagofficial.com/new-restaurants-cafes-and-bars-to-try-across-india-this-september/</t>
  </si>
  <si>
    <t xml:space="preserve">C200</t>
  </si>
  <si>
    <t xml:space="preserve">Kokoy</t>
  </si>
  <si>
    <t xml:space="preserve">Plot 703, Sector 23 (opp. Ansal Plaza), Gurugram</t>
  </si>
  <si>
    <t xml:space="preserve">Chikmagalur beans; espresso, Americano, doppio, French press with customisable roasts; Cran Cran Coffee, Coffee Tonic.</t>
  </si>
  <si>
    <t xml:space="preserve">Single region (Chikmagalur).</t>
  </si>
  <si>
    <t xml:space="preserve">A second region (Nilgiris / Araku / Northeast) for the French press.</t>
  </si>
  <si>
    <t xml:space="preserve">Premium all-day cafe with specialty coffee, opened early Jan 2026.</t>
  </si>
  <si>
    <t xml:space="preserve">https://www.restaurantindia.in/news/restaurant-india-news-kokoy-launches-caf-in-gurugram-enters-premium-all-day-dining-segment.n14880</t>
  </si>
  <si>
    <t xml:space="preserve">Indian origins/estates: Chikmagalur; Brew: French press, Affogato, Flat white</t>
  </si>
  <si>
    <t xml:space="preserve">2 of 2 read: https://www.restaurantindia.in/news/restaurant-india-news-kokoy-launches-caf-in-gurugram-enters-premium-all-day-dining-segment.n14880 https://www.realshepower.in/new-coffee-cafes-delhi-ncr-2026/</t>
  </si>
  <si>
    <t xml:space="preserve">C201</t>
  </si>
  <si>
    <t xml:space="preserve">Odd Culture</t>
  </si>
  <si>
    <t xml:space="preserve">Unit 7, Emaar Capital Tower 2, Sector 26, Gurugram</t>
  </si>
  <si>
    <t xml:space="preserve">Kalita manual brews and cold brew on rotation; drinks on tap; miso coffee; fermentation-led kitchen.</t>
  </si>
  <si>
    <t xml:space="preserve">~₹2,000 for two; Time Out 5/5</t>
  </si>
  <si>
    <t xml:space="preserve">Fermentation-process lots (anaerobic, co-ferment) that match the kitchen's ethos.</t>
  </si>
  <si>
    <t xml:space="preserve">The Lab Mag 'New tables for October' (5 Oct 2026): new cafe, 8am–10pm.</t>
  </si>
  <si>
    <t xml:space="preserve">Weeks old — still choosing suppliers.</t>
  </si>
  <si>
    <t xml:space="preserve">Brew: Kalita, Cold brew; ₹2,000 for two</t>
  </si>
  <si>
    <t xml:space="preserve">2 of 2 read: https://www.thelabmagofficial.com/new-tables-for-october-the-delhi-ncr-restaurants-cafes-and-bars-to-try/ https://www.timeout.com/delhi/restaurants/odd-culture</t>
  </si>
  <si>
    <t xml:space="preserve">C212</t>
  </si>
  <si>
    <t xml:space="preserve">Brekka</t>
  </si>
  <si>
    <t xml:space="preserve">Gomti Nagar</t>
  </si>
  <si>
    <t xml:space="preserve">New coffee bar with early-bird signature drinks + bakes (Knocksense).</t>
  </si>
  <si>
    <t xml:space="preserve">C234</t>
  </si>
  <si>
    <t xml:space="preserve">Batter Bar — CP67 Mohali</t>
  </si>
  <si>
    <t xml:space="preserve">Punjab</t>
  </si>
  <si>
    <t xml:space="preserve">Mohali</t>
  </si>
  <si>
    <t xml:space="preserve">CP67 Mohali + Sector 7 Chandigarh</t>
  </si>
  <si>
    <t xml:space="preserve">Pastry-pairing single estates; espresso blend for 2 outlets.</t>
  </si>
  <si>
    <t xml:space="preserve">French pastry + specialty coffee; new Mohali outlet (17 May 2026).</t>
  </si>
  <si>
    <t xml:space="preserve">Chef Abhinav Sundra (ex-Pierre Hermé)</t>
  </si>
  <si>
    <t xml:space="preserve">https://realtynmore.com/batter-bar-coffee-cafe-at-cp67-mohali/</t>
  </si>
  <si>
    <t xml:space="preserve">Indian origins/estates: Punjab Real Estate; ₹800 for 2; Signals: Hiring</t>
  </si>
  <si>
    <t xml:space="preserve">3 of 3 read: https://realtynmore.com/batter-bar-coffee-cafe-at-cp67-mohali/ https://babushahi.com/trends.php?id=221174 https://shoutlo.com/restaurants/batter-bar-sector-7-chandigarh</t>
  </si>
  <si>
    <t xml:space="preserve">C266</t>
  </si>
  <si>
    <t xml:space="preserve">BrewHaus</t>
  </si>
  <si>
    <t xml:space="preserve">Jharkhand</t>
  </si>
  <si>
    <t xml:space="preserve">Ranchi</t>
  </si>
  <si>
    <t xml:space="preserve">Instagram bio: 'NOW OPEN!' — caffeine &amp; coziness.</t>
  </si>
  <si>
    <t xml:space="preserve">@brewhaus.ranchi</t>
  </si>
  <si>
    <t xml:space="preserve">https://www.instagram.com/brewhaus.ranchi/</t>
  </si>
  <si>
    <t xml:space="preserve">C026</t>
  </si>
  <si>
    <t xml:space="preserve">Cafe Quattro — Babulnath</t>
  </si>
  <si>
    <t xml:space="preserve">Babulnath (inside a theatre) + Juhu</t>
  </si>
  <si>
    <t xml:space="preserve">Specialty coffees, cold brews, Vietnamese coffee, coffee mocktails; all-veg.</t>
  </si>
  <si>
    <t xml:space="preserve">Second Mumbai cafe; vegetarian dining + specialty coffee + quick service.</t>
  </si>
  <si>
    <t xml:space="preserve">Food-led; pitch a dependable house blend.</t>
  </si>
  <si>
    <t xml:space="preserve">https://www.indianretailer.com/news/cafe-quattro-opens-second-mumbai-cafe-mumbai</t>
  </si>
  <si>
    <t xml:space="preserve">Imported origins: Vietnam; Brew: Cold brew; ₹ 1200 for two</t>
  </si>
  <si>
    <t xml:space="preserve">3 of 3 read: https://www.eazydiner.com/mumbai/cafe-quattro-juhu-western-suburbs-707486 https://www.indianretailer.com/news/cafe-quattro-opens-second-mumbai-cafe-mumbai https://www.restaurantindia.in/news/caf-quattro-opens-second-outlet-in-babulnath-south-mumbai.n16988</t>
  </si>
  <si>
    <t xml:space="preserve">C027</t>
  </si>
  <si>
    <t xml:space="preserve">DRNK Apartment</t>
  </si>
  <si>
    <t xml:space="preserve">Matcha-led dessert coffees (s'mores latte); Time Out 4/5; Andheri outpost of Bandra's DRNK.</t>
  </si>
  <si>
    <t xml:space="preserve">Third-place cafe and matcha spot in Andheri (Man's World India restaurant update).</t>
  </si>
  <si>
    <t xml:space="preserve">Matcha-led; pitch espresso + filter to round out coffee side.</t>
  </si>
  <si>
    <t xml:space="preserve">https://www.mansworldindia.com/lifestyle/mw-restaurant-update-every-place-you-need-to-check-out-in-mumbai-right-now</t>
  </si>
  <si>
    <t xml:space="preserve">Opening date not confirmed</t>
  </si>
  <si>
    <t xml:space="preserve">1 of 3 read: https://oteats.outlooktraveller.com/features/guides/the-coolest-new-openings-in-mumbai-you-need-to-be-on-the-lookout-for</t>
  </si>
  <si>
    <t xml:space="preserve">C028</t>
  </si>
  <si>
    <t xml:space="preserve">Grounded</t>
  </si>
  <si>
    <t xml:space="preserve">Khar</t>
  </si>
  <si>
    <t xml:space="preserve">Community-driven cafe, good coffee + wholesome food (Jan 2026).</t>
  </si>
  <si>
    <t xml:space="preserve">Signals: Now open</t>
  </si>
  <si>
    <t xml:space="preserve">2 of 3 read: https://foodiesofindia.wordpress.com/2026/01/15/january-2026-30-new-restaurants-cafes-in-mumbai-you-need-to-check-out/ https://www.indianretailer.com/restaurant/article/bandra-gets-a-new-enchanting-caf-grounded.14232</t>
  </si>
  <si>
    <t xml:space="preserve">C030</t>
  </si>
  <si>
    <t xml:space="preserve">Linking House</t>
  </si>
  <si>
    <t xml:space="preserve">Linking Rd, Santacruz W (4,000 sq ft, 120 seats)</t>
  </si>
  <si>
    <t xml:space="preserve">All-day: coffee &amp; bakery by day, dinner &amp; cocktails later (Esquire, Sep 2026).</t>
  </si>
  <si>
    <t xml:space="preserve">Riya Goon &amp; Vivek Chandaliya</t>
  </si>
  <si>
    <t xml:space="preserve">https://www.esquireindia.co.in/food-and-drinks/what-to-eat/from-rola-to-the-mahjong-club-9-new-restaurants-and-caf%C3%A9s-in-mumbai-to-try-this-september</t>
  </si>
  <si>
    <t xml:space="preserve">Brew: Cold brew, Affogato</t>
  </si>
  <si>
    <t xml:space="preserve">2 of 2 read: https://www.esquireindia.co.in/food-and-drinks/what-to-eat/from-rola-to-the-mahjong-club-9-new-restaurants-and-caf%C3%A9s-in-mumbai-to-try-this-september https://www.restaurantindia.in/news/linking-house-opens-on-linking-road-with-120-seats-and-day-to-night-dining.n17078</t>
  </si>
  <si>
    <t xml:space="preserve">C031</t>
  </si>
  <si>
    <t xml:space="preserve">Lygon St</t>
  </si>
  <si>
    <t xml:space="preserve">Feb 2026 opening (Foodies of India); name references Melbourne's cafe street.</t>
  </si>
  <si>
    <t xml:space="preserve">https://foodiesofindia.wordpress.com/2026/02/01/february-2026-new-restaurants-in-mumbai-you-need-to-try/</t>
  </si>
  <si>
    <t xml:space="preserve">Coffee programme not described Wave 4: not found in a web search beyond its source roundup — confirm it is open (Instagram / Google Maps) before outreach.</t>
  </si>
  <si>
    <t xml:space="preserve">1 of 1 read: https://foodiesofindia.wordpress.com/2026/02/01/february-2026-new-restaurants-in-mumbai-you-need-to-try/</t>
  </si>
  <si>
    <t xml:space="preserve">C035</t>
  </si>
  <si>
    <t xml:space="preserve">NOT FAR</t>
  </si>
  <si>
    <t xml:space="preserve">Coffee programme sourced from Corridor Seven, picked to match the cookies and cupcakes.</t>
  </si>
  <si>
    <t xml:space="preserve">Corridor Seven Coffee Roasters (Nagpur)</t>
  </si>
  <si>
    <t xml:space="preserve">Single roaster.</t>
  </si>
  <si>
    <t xml:space="preserve">Second roaster / seasonal guest bean.</t>
  </si>
  <si>
    <t xml:space="preserve">Compare cup vs Corridor Seven at a tasting.</t>
  </si>
  <si>
    <t xml:space="preserve">Speciality cookies, cupcakes and coffee (Curly Tales, Jul 2026).</t>
  </si>
  <si>
    <t xml:space="preserve">https://www.restaurantindia.in/news/notfar-opens-in-bandra-with-specialty-cookies-cupcakes-and-coffee.n16686</t>
  </si>
  <si>
    <t xml:space="preserve">C036</t>
  </si>
  <si>
    <t xml:space="preserve">Namah Bengaluru Coffee House</t>
  </si>
  <si>
    <t xml:space="preserve">Four Bungalows, Andheri W (7am–11:30pm)</t>
  </si>
  <si>
    <t xml:space="preserve">Darshini-style South Indian tiffin + filter coffee.</t>
  </si>
  <si>
    <t xml:space="preserve">~₹400 for two</t>
  </si>
  <si>
    <t xml:space="preserve">A filter-coffee blend (peaberry/robusta with optional chicory) — not single origin.</t>
  </si>
  <si>
    <t xml:space="preserve">Pitch a filter-coffee decoction blend with consistent volume pricing.</t>
  </si>
  <si>
    <t xml:space="preserve">New coffee house (Foodies of India, Jun 2026).</t>
  </si>
  <si>
    <t xml:space="preserve">@namah.mumbai</t>
  </si>
  <si>
    <t xml:space="preserve">https://www.instagram.com/namah.mumbai/</t>
  </si>
  <si>
    <t xml:space="preserve">Arvind &amp; Pallavi Shetty</t>
  </si>
  <si>
    <t xml:space="preserve">Brew: South Indian filter; Signals: Coming soon, Now open</t>
  </si>
  <si>
    <t xml:space="preserve">3 of 4 read: https://foodiesofindia.wordpress.com/2026/06/01/june-2026-new-restaurants-in-mumbai-you-need-to-visit/ https://www.freepressjournal.in/lifestyle/food-review-we-tried-mumbais-viral-new-south-indian-spot-namah-is-it-worth-the-hype https://www.freepressjournal.in/lifestyle/narayan-rane-shreyas-talpade-others-join-star-studded-launch-of-new-south-indian-joint-in-mumbai</t>
  </si>
  <si>
    <t xml:space="preserve">C037</t>
  </si>
  <si>
    <t xml:space="preserve">Pardon Our French</t>
  </si>
  <si>
    <t xml:space="preserve">Ballard Estate, Fort</t>
  </si>
  <si>
    <t xml:space="preserve">Parisian coffee shop (22 seats): rosemary &amp; salted-honey cold brew, salted drinks.</t>
  </si>
  <si>
    <t xml:space="preserve">Approach via the consultant (Geetu Mohnani) who curated the menu — she can specify beans for other clients too.</t>
  </si>
  <si>
    <t xml:space="preserve">New pastry-led cafe from chef Pooja Dhingra.</t>
  </si>
  <si>
    <t xml:space="preserve">Patisserie pairing coffee.</t>
  </si>
  <si>
    <t xml:space="preserve">Pooja Dhingra; beverage programme by coffee consultant Geetu Mohnani</t>
  </si>
  <si>
    <t xml:space="preserve">https://www.thestylelist.in/post/new-restaurants-cafes-bars-india</t>
  </si>
  <si>
    <t xml:space="preserve">Indian origins/estates: Ballard Estate, Mumbai’s Ballard Estate; Brew: Cold brew; Signals: Now open</t>
  </si>
  <si>
    <t xml:space="preserve">2 of 4 read: https://thenodmag.com/content/pardon-our-french-pooja-dhingra-cafe-ballard-estate-mumbai-review https://curlytales.com/pardon-our-french-pooja-dhingra-has-a-new-cafe-in-mumbai-hint-its-not-in-bandra</t>
  </si>
  <si>
    <t xml:space="preserve">C038</t>
  </si>
  <si>
    <t xml:space="preserve">Project Hum</t>
  </si>
  <si>
    <t xml:space="preserve">Bandra + Versova (kaviar:collaborative design)</t>
  </si>
  <si>
    <t xml:space="preserve">Curated specialty programme with Subko; traceable sourcing; grab-and-go window in Versova.</t>
  </si>
  <si>
    <t xml:space="preserve">Subko</t>
  </si>
  <si>
    <t xml:space="preserve">Position as a guest single estate alongside Subko, not a replacement.</t>
  </si>
  <si>
    <t xml:space="preserve">In Foodies of India's Sep–Oct 2026 openings. Wave 4: Grazia/Elle Decor coverage names Subko as the coffee partner.</t>
  </si>
  <si>
    <t xml:space="preserve">Jatin Talreja (co-founder)</t>
  </si>
  <si>
    <t xml:space="preserve">https://foodiesofindia.wordpress.com/tag/new-restaurants-in-mumbai/</t>
  </si>
  <si>
    <t xml:space="preserve">Coffee programme not described</t>
  </si>
  <si>
    <t xml:space="preserve">3 of 5 read: https://www.harpersbazaar.in/travel-food/story/14-new-restaurants-across-india-that-should-be-on-your-dining-list-2268 https://elledecor.in/cafe-project-hum-mumbai-by-kaviar-collaborative/ https://www.localsamosa.com/food-and-drinks/coffee-shops-in-mumbai-10068806</t>
  </si>
  <si>
    <t xml:space="preserve">C039</t>
  </si>
  <si>
    <t xml:space="preserve">ROST</t>
  </si>
  <si>
    <t xml:space="preserve">Mahesh Building, Khar W</t>
  </si>
  <si>
    <t xml:space="preserve">French toast + coffee bar (Esquire, Sep 2026).</t>
  </si>
  <si>
    <t xml:space="preserve">Param Arora (co-founder)</t>
  </si>
  <si>
    <t xml:space="preserve">Indian origins/estates: Karnataka; Brew: V60, Cold brew, Affogato</t>
  </si>
  <si>
    <t xml:space="preserve">1 of 3 read: https://www.timeout.com/mumbai/restaurants/rost</t>
  </si>
  <si>
    <t xml:space="preserve">C040</t>
  </si>
  <si>
    <t xml:space="preserve">San's in the Bay</t>
  </si>
  <si>
    <t xml:space="preserve">Kala Ghoda</t>
  </si>
  <si>
    <t xml:space="preserve">Contemporary cafe serving specialty brews (2026 India openings roundup).</t>
  </si>
  <si>
    <t xml:space="preserve">Pitch house espresso + one rotating single estate.</t>
  </si>
  <si>
    <t xml:space="preserve">Single source Wave 4: not found in a web search beyond its source roundup — confirm it is open (Instagram / Google Maps) before outreach.</t>
  </si>
  <si>
    <t xml:space="preserve">C041</t>
  </si>
  <si>
    <t xml:space="preserve">Vanilla Miel — Lower Parel</t>
  </si>
  <si>
    <t xml:space="preserve">Lodha Signet, Lower Parel (also Pali Village)</t>
  </si>
  <si>
    <t xml:space="preserve">Micro-roasted, low-acidity MEDIUM-DARK roast from high-altitude Chikmagalur estates; honey-cinnamon, crème-brûlée and tiramisu lattes, iced Vietnamese, vanilla-bean shakerato; orange-basil and spiced-guava cold brews; 'VM House Phin'; ceremonial matcha.</t>
  </si>
  <si>
    <t xml:space="preserve">Not published (Chikmagalur estates, medium-dark)</t>
  </si>
  <si>
    <t xml:space="preserve">One medium-dark espresso profile; no light roast or pour-over.</t>
  </si>
  <si>
    <t xml:space="preserve">A light/medium single estate for a filter or pour-over slot, plus a seasonal lot for dessert pairing.</t>
  </si>
  <si>
    <t xml:space="preserve">Dessert-led brand: pitch a coffee-and-dessert pairing tasting at Lodha Signet and a co-branded seasonal lot.</t>
  </si>
  <si>
    <t xml:space="preserve">Patisserie-cafe brand's second cafe (Oct 2026).</t>
  </si>
  <si>
    <t xml:space="preserve">Isha &amp; Mansi Shetty (founders)</t>
  </si>
  <si>
    <t xml:space="preserve">https://www.restaurantindia.in/news/vanilla-miel-opens-second-mumbai-caf-at-lodha-signet-lower-parel.n17346</t>
  </si>
  <si>
    <t xml:space="preserve">Indian origins/estates: Chikmagalur; Imported origins: Vietnam; Processes / format: Experimental lot, Single origin; Brew: Cold brew, Cortado, Tasting flight / omakase; ₹2,000 for two; Signals: Wholesale / cafe partners</t>
  </si>
  <si>
    <t xml:space="preserve">4 of 4 read: https://curlytales.com/india/food/new-mumbai-restaurants-in-october-youll-want-to-tell-your-friends-about/ https://www.restaurantindia.in/news/vanilla-miel-opens-second-mumbai-caf-at-lodha-signet-lower-parel.n17346 https://luxebook.in/?p=82147 https://finelychopped.net/?p=75976</t>
  </si>
  <si>
    <t xml:space="preserve">C101</t>
  </si>
  <si>
    <t xml:space="preserve">Crush Coffee</t>
  </si>
  <si>
    <t xml:space="preserve">Gujarat</t>
  </si>
  <si>
    <t xml:space="preserve">Rajkot / Surat</t>
  </si>
  <si>
    <t xml:space="preserve">DMD Pacific, Vesu Canal Rd, Surat</t>
  </si>
  <si>
    <t xml:space="preserve">Brand site says ESTD 2026 with stores in Rajkot and Vesu.</t>
  </si>
  <si>
    <t xml:space="preserve">New multi-city brand — house blend.</t>
  </si>
  <si>
    <t xml:space="preserve">https://crushcoffee.vercel.app/</t>
  </si>
  <si>
    <t xml:space="preserve">Brand website only Wave 4: no Rajkot outlet found.</t>
  </si>
  <si>
    <t xml:space="preserve">Processes / format: House blend</t>
  </si>
  <si>
    <t xml:space="preserve">thecrushcafe07@gmail.com · +91 83206 12851</t>
  </si>
  <si>
    <t xml:space="preserve">1 of 2 read: https://crushcoffee.vercel.app/</t>
  </si>
  <si>
    <t xml:space="preserve">C127</t>
  </si>
  <si>
    <t xml:space="preserve">AAMI Café &amp; Bistro</t>
  </si>
  <si>
    <t xml:space="preserve">Candolim</t>
  </si>
  <si>
    <t xml:space="preserve">New all-day cafe; espresso spritz and house cold coffee.</t>
  </si>
  <si>
    <t xml:space="preserve">https://www.restaurantindia.in/news/restaurant-india-news-aami-caf-bistro-opens-its-doors-in-candolim-goa.n16290</t>
  </si>
  <si>
    <t xml:space="preserve">1 of 1 read: https://www.restaurantindia.in/news/restaurant-india-news-aami-caf-bistro-opens-its-doors-in-candolim-goa.n16290</t>
  </si>
  <si>
    <t xml:space="preserve">C132</t>
  </si>
  <si>
    <t xml:space="preserve">Affo — Santa Inez</t>
  </si>
  <si>
    <t xml:space="preserve">Panjim</t>
  </si>
  <si>
    <t xml:space="preserve">Santa Inez</t>
  </si>
  <si>
    <t xml:space="preserve">Gelato-and-coffee spot that moved to Santa Inez in 2026.</t>
  </si>
  <si>
    <t xml:space="preserve">https://travellerscoop.com/must-try-new-restaurants-in-goa-openings/</t>
  </si>
  <si>
    <t xml:space="preserve">1 of 1 read: https://travellerscoop.com/must-try-new-restaurants-in-goa-openings/</t>
  </si>
  <si>
    <t xml:space="preserve">C162</t>
  </si>
  <si>
    <t xml:space="preserve">Cafe Nola — Jaipur</t>
  </si>
  <si>
    <t xml:space="preserve">Jawahar Lal Nehru Marg</t>
  </si>
  <si>
    <t xml:space="preserve">Organic Indian beans incl. Araku Valley in signature coffee sauces; Jaipur's first cold-foam programme.</t>
  </si>
  <si>
    <t xml:space="preserve">No Karnataka, Northeast or Odisha coffees.</t>
  </si>
  <si>
    <t xml:space="preserve">Seasonal guest estate; organic-certified lots if available.</t>
  </si>
  <si>
    <t xml:space="preserve">Brand is multi-city (entered Jaipur Mar 2026) — pitch central procurement.</t>
  </si>
  <si>
    <t xml:space="preserve">Mar 2026 entry; food-led cafe with coffee/bakery programme, cold-foam coffee menu.</t>
  </si>
  <si>
    <t xml:space="preserve">Blend + cold brew.</t>
  </si>
  <si>
    <t xml:space="preserve">Sanjeet Walia (coffee programme)</t>
  </si>
  <si>
    <t xml:space="preserve">0 of 4 read: </t>
  </si>
  <si>
    <t xml:space="preserve">C182</t>
  </si>
  <si>
    <t xml:space="preserve">Cafe Sandoz</t>
  </si>
  <si>
    <t xml:space="preserve">Rajouri Garden Ring Rd flagship + Connaught Place (N-7)</t>
  </si>
  <si>
    <t xml:space="preserve">'Artisanal coffees use beans sourced from Italy.'</t>
  </si>
  <si>
    <t xml:space="preserve">Imported Italian beans.</t>
  </si>
  <si>
    <t xml:space="preserve">An Indian espresso blend matched to an Italian profile (medium-dark, chocolatey, robusta-backed).</t>
  </si>
  <si>
    <t xml:space="preserve">Import-replacement pitch: cupping vs their Italian beans on cost and freshness.</t>
  </si>
  <si>
    <t xml:space="preserve">New cafe with artisanal coffee, comfort food, desserts, cocktails (Aug 2026).</t>
  </si>
  <si>
    <t xml:space="preserve">Blend.</t>
  </si>
  <si>
    <t xml:space="preserve">https://www.thelabmagofficial.com/best-new-restaurants-cafes-bars-in-india-to-visit-in-august-2026/</t>
  </si>
  <si>
    <t xml:space="preserve">3 of 4 read: https://www.thelabmagofficial.com/best-new-restaurants-cafes-bars-in-india-to-visit-in-august-2026/ https://indianretailer.com/franchisetv/archives/news/cafe-sandoz-strengthens-delhi-footprint-new-lifestyle-cafe-rajouri-garden https://www.restaurantindia.in/news/cafe-sandoz-launches-new-outlet-at-rajouri-garden-ring-road-new-delhi.n16734</t>
  </si>
  <si>
    <t xml:space="preserve">C184</t>
  </si>
  <si>
    <t xml:space="preserve">FES Cafe &amp; Desserts</t>
  </si>
  <si>
    <t xml:space="preserve">Meherchand Market; cookie flagship at Lodhi Art District; Galleria Market (Gurugram)</t>
  </si>
  <si>
    <t xml:space="preserve">Dessert-first cafe chain; coffee secondary; 'Coffee Raves'; 'ethically sourced coffee' at an event.</t>
  </si>
  <si>
    <t xml:space="preserve">Funded, expanding and hiring coffee talent: pitch a house espresso + one single estate at chain pricing before a supplier is locked in.</t>
  </si>
  <si>
    <t xml:space="preserve">Cookie-focused flagship with shaken coffees (Jun 2026). Wave 4b: raised ~$1M pre-Series A (12 Flags) for Delhi NCR expansion and hired a former Blue Tokai executive (World Coffee Portal).</t>
  </si>
  <si>
    <t xml:space="preserve">Vidur Mayor (founder)</t>
  </si>
  <si>
    <t xml:space="preserve">https://www.worldcoffeeportal.com/news/indias-fes-cafe-appoints-former-blue-tokai-executive-following-1m-fundraise/</t>
  </si>
  <si>
    <t xml:space="preserve">0 of 3 read: </t>
  </si>
  <si>
    <t xml:space="preserve">C186</t>
  </si>
  <si>
    <t xml:space="preserve">T's Tiramisu</t>
  </si>
  <si>
    <t xml:space="preserve">Panchsheel Park</t>
  </si>
  <si>
    <t xml:space="preserve">Small cafe pairing tiramisu with filter coffee (The Lab Mag, Oct 2026).</t>
  </si>
  <si>
    <t xml:space="preserve">Filter-coffee single estate.</t>
  </si>
  <si>
    <t xml:space="preserve">Brew: South Indian filter</t>
  </si>
  <si>
    <t xml:space="preserve">1 of 1 read: https://www.thelabmagofficial.com/new-tables-for-october-the-delhi-ncr-restaurants-cafes-and-bars-to-try/</t>
  </si>
  <si>
    <t xml:space="preserve">C204</t>
  </si>
  <si>
    <t xml:space="preserve">Ammy's Coffee — Galleria Market</t>
  </si>
  <si>
    <t xml:space="preserve">Punjabi Bagh, SDA, Galleria (Aug 2025), GK</t>
  </si>
  <si>
    <t xml:space="preserve">New outlet listed in LBB #NewInTown (Oct 2026).</t>
  </si>
  <si>
    <t xml:space="preserve">Growing brand — blend supply.</t>
  </si>
  <si>
    <t xml:space="preserve">Amar Preet Singh (co-founder)</t>
  </si>
  <si>
    <t xml:space="preserve">https://lbb.in/delhi/best-restaurants-cafes-delhi/</t>
  </si>
  <si>
    <t xml:space="preserve">2 of 2 read: https://lbb.in/delhi/best-restaurants-cafes-delhi/ https://www.restaurantindia.in/news/restaurant-india-news-ammy-s-coffee-expands-to-galleria-gurgaon-gk-new-delhi.n13541</t>
  </si>
  <si>
    <t xml:space="preserve">C205</t>
  </si>
  <si>
    <t xml:space="preserve">ButterHands cafe</t>
  </si>
  <si>
    <t xml:space="preserve">Select Citywalk, Saket (flagship) + Galleria Market (Sep 2026) + DLF Summit Plaza (mid-Sep 2026), Gurugram; began at 32nd Avenue</t>
  </si>
  <si>
    <t xml:space="preserve">NY-style stuffed cookies + coffee; 'ButterBrew' = South Indian filter-kaapi cold brew.</t>
  </si>
  <si>
    <t xml:space="preserve">A single-estate cold-brew lot (or a filter-kaapi-style blend) for ButterBrew.</t>
  </si>
  <si>
    <t xml:space="preserve">Fast-growing 3-outlet dessert chain: pitch the cold-brew lot.</t>
  </si>
  <si>
    <t xml:space="preserve">Cookie-and-coffee cafe (The Lab Mag, Oct 2026).</t>
  </si>
  <si>
    <t xml:space="preserve">Melt House founders</t>
  </si>
  <si>
    <t xml:space="preserve">https://indianretailer.com/news/butterhands-makes-delhi-ncr-debut-flagship-store-saket</t>
  </si>
  <si>
    <t xml:space="preserve">Brew: Cold brew, South Indian filter</t>
  </si>
  <si>
    <t xml:space="preserve">4 of 4 read: https://www.thelabmagofficial.com/new-tables-for-october-the-delhi-ncr-restaurants-cafes-and-bars-to-try/ https://www.passionateinmarketing.com/?p=760546 https://indianretailer.com/news/butterhands-makes-delhi-ncr-debut-flagship-store-saket https://www.restaurantindia.in/news/restaurant-india-news-butterhands-debuts-at-select-citywalk-as-melt-house-founders-expand-dessert.n14869</t>
  </si>
  <si>
    <t xml:space="preserve">C217</t>
  </si>
  <si>
    <t xml:space="preserve">Coffee Terminal 2</t>
  </si>
  <si>
    <t xml:space="preserve">2nd floor above Axis Bank, Vijay Khand, Gomti Nagar</t>
  </si>
  <si>
    <t xml:space="preserve">~₹1,000 for two; EazyDiner 4.7 (187)</t>
  </si>
  <si>
    <t xml:space="preserve">New coffee spot, 11:30am–11pm (Knocksense).</t>
  </si>
  <si>
    <t xml:space="preserve">Signals: Coming soon</t>
  </si>
  <si>
    <t xml:space="preserve">2 of 3 read: https://www.knocksense.com/lucknow/5-new-coffee-spots-in-lucknow-worth-adding-to-your-caf%C3%A9-hopping-list https://www.knocksense.com/lucknow/5-new-coffee-spots-in-lucknow-worth-adding-to-your-café-hopping-list</t>
  </si>
  <si>
    <t xml:space="preserve">C227</t>
  </si>
  <si>
    <t xml:space="preserve">Kohi — The Cafe</t>
  </si>
  <si>
    <t xml:space="preserve">Amritsar (verify)</t>
  </si>
  <si>
    <t xml:space="preserve">Ranjit Avenue (EazyDiner)</t>
  </si>
  <si>
    <t xml:space="preserve">'Newest hidden gem (2026)', European-style interiors.</t>
  </si>
  <si>
    <t xml:space="preserve">https://zipbiz.in/hidden-cafes-chandigarh-mohali/</t>
  </si>
  <si>
    <t xml:space="preserve">Single listing Wave 4: the only listing found is in Amritsar, not Mohali.</t>
  </si>
  <si>
    <t xml:space="preserve">Brew: Flat white; Prices: Coffee Cottage Kansal ⭐4.9 ₹400-600 Coffee, Pets Flat White 099886 13030 | The Hedgehog Sector 7C ⭐4.3 ₹200-1000 Books, Breakfast Cold Coffee 0172 473 0478 | Kamaa Café Sector 7C ⭐4.6 ₹600-1800 Bar, Late Night Tandoori Platter 098557 77080; ₹ 1000 for two</t>
  </si>
  <si>
    <t xml:space="preserve">2 of 2 read: https://www.eazydiner.com/amritsar/kohi-the-cafe-ranjit-avenue-amritsar-696155 https://zipbiz.in/hidden-cafes-chandigarh-mohali/</t>
  </si>
  <si>
    <t xml:space="preserve">C056</t>
  </si>
  <si>
    <t xml:space="preserve">C</t>
  </si>
  <si>
    <t xml:space="preserve">Angry Toast</t>
  </si>
  <si>
    <t xml:space="preserve">Waterfield Rd, Bandra W (450 sq ft; opened 16 Jul 2026)</t>
  </si>
  <si>
    <t xml:space="preserve">Yes — in-house micro-roastery</t>
  </si>
  <si>
    <t xml:space="preserve">On-site micro-roastery; hot and cold coffee, cold brew, matcha, taro latte; 3-inch sandwiches sold in pairs.</t>
  </si>
  <si>
    <t xml:space="preserve">Own roastery (micro-roastery)</t>
  </si>
  <si>
    <t xml:space="preserve">Green coffee / guest lots for its micro-roastery.</t>
  </si>
  <si>
    <t xml:space="preserve">They roast: pitch green lots to the coffee lead.</t>
  </si>
  <si>
    <t xml:space="preserve">Sandwich shop + micro-roastery, opened 16 Jul 2026; coffee led by a WBC semi-finalist.</t>
  </si>
  <si>
    <t xml:space="preserve">Blabber Hospitality; Suhas Dwarakanath (coffee lead, WBC semi-finalist)</t>
  </si>
  <si>
    <t xml:space="preserve">https://www.timeout.com/mumbai/news/angry-toast-bandras-new-sandwich-shop-has-its-own-coffee-roastery-071626</t>
  </si>
  <si>
    <t xml:space="preserve">Indian origins/estates: Coorg / Kodagu, Wayanad; Imported origins: Vietnam; Brew: Cold brew; Signals: Coming soon</t>
  </si>
  <si>
    <t xml:space="preserve">2 of 2 read: https://www.timeout.com/mumbai/news/angry-toast-bandras-new-sandwich-shop-has-its-own-coffee-roastery-071626 https://homegrown.co.in/homegrown-explore/angry-toast-opens-in-bandra-with-3-inch-sandwiches-an-in-house-coffee-roastery</t>
  </si>
  <si>
    <t xml:space="preserve">C047</t>
  </si>
  <si>
    <t xml:space="preserve">AlienKind</t>
  </si>
  <si>
    <t xml:space="preserve">Bengaluru UFO-burger QSR (5 BLR + 4 DEL); coffee drinks such as The Cloudy.</t>
  </si>
  <si>
    <t xml:space="preserve">Immersive cafe (Aug 2026).</t>
  </si>
  <si>
    <t xml:space="preserve">3 of 3 read: https://foodiesofindia.wordpress.com/2026/08/04/new-restaurants-cafes-in-mumbai-august-2026/ https://www.restaurantindia.in/news/alienkind-opens-its-biggest-outlet-in-mumbais-oshiwara.n16757 https://indianretailer.com/news/alienkind-expands-retail-presence-first-mumbai-outlet</t>
  </si>
  <si>
    <t xml:space="preserve">C048</t>
  </si>
  <si>
    <t xml:space="preserve">Belsta Coffee</t>
  </si>
  <si>
    <t xml:space="preserve">Scooter (Activa) coffee stall, Union Park / Carter Rd, Bandra (from 7:30 pm)</t>
  </si>
  <si>
    <t xml:space="preserve">Espresso, Vietnamese shakerato, mochas, lattes from a scooter; vegan milk.</t>
  </si>
  <si>
    <t xml:space="preserve">Espresso ₹67, cappuccino ₹97, max ₹137</t>
  </si>
  <si>
    <t xml:space="preserve">Very low price point — a premium single estate would not fit the margin.</t>
  </si>
  <si>
    <t xml:space="preserve">Coffee-focused opening (Foodies of India, Feb 2026).</t>
  </si>
  <si>
    <t xml:space="preserve">Suraj Kumar</t>
  </si>
  <si>
    <t xml:space="preserve">Wave 4: a coffee cart, not a cafe — kept as a low-volume Normal lead.</t>
  </si>
  <si>
    <t xml:space="preserve">Prices: Serving Cappuccinos Starting At ₹67, Mumbai’s Cutest Coffee Spot Runs On An Activa! | London For The 1st Time Suraj is serving espresso for just ₹67 and cappuccino that | r just ₹67 and cappuccino that will blow your mind for just ₹97. His limited coffee</t>
  </si>
  <si>
    <t xml:space="preserve">2 of 2 read: https://foodiesofindia.wordpress.com/2026/02/01/february-2026-new-restaurants-in-mumbai-you-need-to-try/ https://curlytales.com/india/food/serving-cappuccinos-starting-at-mumbais-cutest-coffee-spot-runs-on-an-activa/</t>
  </si>
  <si>
    <t xml:space="preserve">C051</t>
  </si>
  <si>
    <t xml:space="preserve">Fold Bakehouse</t>
  </si>
  <si>
    <t xml:space="preserve">Jul 2026 opening.</t>
  </si>
  <si>
    <t xml:space="preserve">https://foodiesofindia.wordpress.com/2026/07/01/new-restaurants-in-mumbai-july-2026-roundup/</t>
  </si>
  <si>
    <t xml:space="preserve">1 of 1 read: https://foodiesofindia.wordpress.com/2026/07/01/new-restaurants-in-mumbai-july-2026-roundup/</t>
  </si>
  <si>
    <t xml:space="preserve">C052</t>
  </si>
  <si>
    <t xml:space="preserve">GOAT Brew</t>
  </si>
  <si>
    <t xml:space="preserve">New Link Rd, Oshiwara</t>
  </si>
  <si>
    <t xml:space="preserve">₹2,000–2,500 for two</t>
  </si>
  <si>
    <t xml:space="preserve">Listed in Free Press Journal's Sep 2026 new Mumbai openings as a cafe-bar. Foodies of India Aug 2026: speciality cafe for artisanal coffee.</t>
  </si>
  <si>
    <t xml:space="preserve">Coffee cocktails — espresso blend + cold brew bulk.</t>
  </si>
  <si>
    <t xml:space="preserve">Lizaa Malik &amp; Saurabh Pathak</t>
  </si>
  <si>
    <t xml:space="preserve">Coffee programme details not confirmed</t>
  </si>
  <si>
    <t xml:space="preserve">₹2500 for two</t>
  </si>
  <si>
    <t xml:space="preserve">3 of 4 read: https://www.district.in/dining/mumbai/goat-brew-oshiwara https://www.restaurantindia.in/news/goat-brew-launches-new-caf-restaurant-and-bar-in-mumbai.n16812 https://indianretailer.com/news/goat-brew-opens-new-cafe-and-bar-mumbai</t>
  </si>
  <si>
    <t xml:space="preserve">C055</t>
  </si>
  <si>
    <t xml:space="preserve">The Blondie House</t>
  </si>
  <si>
    <t xml:space="preserve">Versova (Sep 2026; Blondie + Janu under one roof)</t>
  </si>
  <si>
    <t xml:space="preserve">Pitch with Blondie (same group).</t>
  </si>
  <si>
    <t xml:space="preserve">Multi-level community space combining Blondie's cafe/bakery with Janu's menu (Oct 2026).</t>
  </si>
  <si>
    <t xml:space="preserve">Bakery-cafe; house blend.</t>
  </si>
  <si>
    <t xml:space="preserve">https://curlytales.com/india/food/new-mumbai-restaurants-in-october-youll-want-to-tell-your-friends-about/</t>
  </si>
  <si>
    <t xml:space="preserve">Brew: Tasting flight / omakase, South Indian filter; ₹2,000 for two</t>
  </si>
  <si>
    <t xml:space="preserve">4 of 4 read: https://curlytales.com/india/food/new-mumbai-restaurants-in-october-youll-want-to-tell-your-friends-about/ https://www.restaurantindia.in/news/bastian-hospitality-opens-the-blondie-house-in-versova.n17320 https://indianretailer.com/news/blondie-house-opens-new-community-cafe-versova https://t2online.in/goodlife/food-beverage/blondie-and-janu-find-a-new-home-in-versova--mumbai/2008352</t>
  </si>
  <si>
    <t xml:space="preserve">C063</t>
  </si>
  <si>
    <t xml:space="preserve">The Coffee Project — Nagpur (4th outlet)</t>
  </si>
  <si>
    <t xml:space="preserve">Nagpur</t>
  </si>
  <si>
    <t xml:space="preserve">Opened 4th Nagpur outlet on 15 Aug 2026 and hiring baristas (LinkedIn).</t>
  </si>
  <si>
    <t xml:space="preserve">Growing regional chain — blend supply.</t>
  </si>
  <si>
    <t xml:space="preserve">https://in.linkedin.com/jobs/cafe-jobs-pune</t>
  </si>
  <si>
    <t xml:space="preserve">LinkedIn post via search summary Wave 4b: not found; 'The Coffee Project' is a Philippine chain. Nagpur alternatives: The Brew Crew (Bajaj Nagar), All That's Coffee (Sadar).</t>
  </si>
  <si>
    <t xml:space="preserve">C081</t>
  </si>
  <si>
    <t xml:space="preserve">Christopher's Cafe &amp; Bakehouse</t>
  </si>
  <si>
    <t xml:space="preserve">Goodwill Enclave 4, opp. Suman Business Park, Kalyani Nagar</t>
  </si>
  <si>
    <t xml:space="preserve">Victorian-themed all-day restaurant and bakehouse; coffee not a focus.</t>
  </si>
  <si>
    <t xml:space="preserve">Victorian-style all-day cafe (Curly Tales).</t>
  </si>
  <si>
    <t xml:space="preserve">https://curlytales.com/india/food/victorian-themed-cafe-to-k-drama-like-eatery-new-restaurants-to-try-in-pune-this-february/</t>
  </si>
  <si>
    <t xml:space="preserve">1 of 1 read: https://curlytales.com/india/food/victorian-themed-cafe-to-k-drama-like-eatery-new-restaurants-to-try-in-pune-this-february/</t>
  </si>
  <si>
    <t xml:space="preserve">C083</t>
  </si>
  <si>
    <t xml:space="preserve">Handmade Cafe</t>
  </si>
  <si>
    <t xml:space="preserve">Merchant's Bungalow, 3C South Ave, Kalyani Nagar (10 am–7 pm)</t>
  </si>
  <si>
    <t xml:space="preserve">'Community living room' cafe; pet-friendly; coffee menu not published.</t>
  </si>
  <si>
    <t xml:space="preserve">Pet-friendly cafe (Curly Tales).</t>
  </si>
  <si>
    <t xml:space="preserve">Three friends (founders)</t>
  </si>
  <si>
    <t xml:space="preserve">1 of 2 read: https://curlytales.com/india/food/victorian-themed-cafe-to-k-drama-like-eatery-new-restaurants-to-try-in-pune-this-february/</t>
  </si>
  <si>
    <t xml:space="preserve">C094</t>
  </si>
  <si>
    <t xml:space="preserve">Cafe Deli — Novotel Ahmedabad</t>
  </si>
  <si>
    <t xml:space="preserve">Hotel / resort cafe</t>
  </si>
  <si>
    <t xml:space="preserve">Ahmedabad</t>
  </si>
  <si>
    <t xml:space="preserve">S.G. Highway</t>
  </si>
  <si>
    <t xml:space="preserve">'Café Deli-Tel': espressos, cappuccinos, cold brews (Sunrise Cold Brew), 'artisanal blends' from Coffee Co; 7 am–2 am.</t>
  </si>
  <si>
    <t xml:space="preserve">The Coffee Co (launch report)</t>
  </si>
  <si>
    <t xml:space="preserve">Accor hotel cafe already on The Coffee Co (as is Novotel Goa's The Little Place) — only worth it through Accor F&amp;B procurement.</t>
  </si>
  <si>
    <t xml:space="preserve">Casual specialty coffee + bakes (Knocksense new openings).</t>
  </si>
  <si>
    <t xml:space="preserve">https://www.knocksense.com/ahmedabad/9-new-restaurants-in-ahmedabad-bringing-fresh-flavours-to-the-table</t>
  </si>
  <si>
    <t xml:space="preserve">Indian origins/estates: Baba Budangiri; Brew: Cold brew; ₹ 1500 for two</t>
  </si>
  <si>
    <t xml:space="preserve">1 of 3 read: https://www.eazydiner.com/ahmedabad/cafe-deli-tel-novotel-ahmedabad-697631</t>
  </si>
  <si>
    <t xml:space="preserve">C095</t>
  </si>
  <si>
    <t xml:space="preserve">Insitu (Unsettle cafe)</t>
  </si>
  <si>
    <t xml:space="preserve">Near RK Farm, off Sindhu Bhavan Marg, Thaltej</t>
  </si>
  <si>
    <t xml:space="preserve">Restaurant with a rooftop, the Unsettle cafe and a coffee + mocktail section.</t>
  </si>
  <si>
    <t xml:space="preserve">₹1,900 for two (Unsettle ~₹1,100); 4.6 (310)</t>
  </si>
  <si>
    <t xml:space="preserve">Feb 2026 restaurant with cafe section 'Unsettle' and coffee/mocktail bar.</t>
  </si>
  <si>
    <t xml:space="preserve">https://curlytales.com/india/food/enjoy-different-vibes-under-one-roof-at-ahmedabads-new-cafe-insitu/</t>
  </si>
  <si>
    <t xml:space="preserve">₹ 1900 for two</t>
  </si>
  <si>
    <t xml:space="preserve">3 of 3 read: https://www.eazydiner.com/ahmedabad/insitu-restaurant-thaltej-west-ahmedabad-712698 https://curlytales.com/india/food/enjoy-different-vibes-under-one-roof-at-ahmedabads-new-cafe-insitu/ https://www.eazydiner.com/ahmedabad/unsettle-thaltej-west-ahmedabad-712923</t>
  </si>
  <si>
    <t xml:space="preserve">C134</t>
  </si>
  <si>
    <t xml:space="preserve">Cháfé Braz</t>
  </si>
  <si>
    <t xml:space="preserve">Goan-Portuguese bites on a CIPA heritage balcony with jazz; coffee is secondary.</t>
  </si>
  <si>
    <t xml:space="preserve">New 2026 cafe on the balcony of a 200-year-old Goan home overlooking the Mandovi.</t>
  </si>
  <si>
    <t xml:space="preserve">Wave 4: coffee not a focus in any coverage — downgraded to C.</t>
  </si>
  <si>
    <t xml:space="preserve">3 of 3 read: https://travellerscoop.com/must-try-new-restaurants-in-goa-openings/ https://thenodmag.com/content/goa-new-restaurants-bars-food-menus-july-2026 https://wanderlog.com/place/details/5383434</t>
  </si>
  <si>
    <t xml:space="preserve">C194</t>
  </si>
  <si>
    <t xml:space="preserve">Public Supply</t>
  </si>
  <si>
    <t xml:space="preserve">Hauz Khas</t>
  </si>
  <si>
    <t xml:space="preserve">Wellness cafe — juices, açai; coffee minor.</t>
  </si>
  <si>
    <t xml:space="preserve">Wellness-focused cafe by chefs Megha Kohli &amp; Noah Louis Barnes (The Nod, Jul 2026).</t>
  </si>
  <si>
    <t xml:space="preserve">Chef-led — clean single estates.</t>
  </si>
  <si>
    <t xml:space="preserve">Megha Kohli &amp; Noah Louis Barnes (ex-Pendulo, ex-Cortasso)</t>
  </si>
  <si>
    <t xml:space="preserve">https://thenodmag.com/content/delhi-ncr-new-restaurants-bars-food-menus-july-2026</t>
  </si>
  <si>
    <t xml:space="preserve">₹1,500 for two</t>
  </si>
  <si>
    <t xml:space="preserve">2 of 4 read: https://thenodmag.com/content/delhi-ncr-new-restaurants-bars-food-menus-july-2026 https://www.timeout.com/delhi/restaurants/public-supply</t>
  </si>
  <si>
    <t xml:space="preserve">C195</t>
  </si>
  <si>
    <t xml:space="preserve">Second Born</t>
  </si>
  <si>
    <t xml:space="preserve">GK-II (rooftop above Staple)</t>
  </si>
  <si>
    <t xml:space="preserve">Rooftop bar (5 pm–1 am); coffee &amp; cascara signatures.</t>
  </si>
  <si>
    <t xml:space="preserve">Rooftop 'living room' serving coffees and cocktails (The Nod, Feb 2026).</t>
  </si>
  <si>
    <t xml:space="preserve">https://thenodmag.com/content/new-restaurants-bars-openings-february-2026-mumbai-delhi-bengaluru-goa</t>
  </si>
  <si>
    <t xml:space="preserve">Brew: Cascara; Signals: Coming soon</t>
  </si>
  <si>
    <t xml:space="preserve">2 of 3 read: https://thenodmag.com/content/new-restaurants-bars-openings-february-2026-mumbai-delhi-bengaluru-goa https://thenodmag.com/content/second-born-delhi-restaurant-rooftop-cocktail-bar-review</t>
  </si>
  <si>
    <t xml:space="preserve">C208</t>
  </si>
  <si>
    <t xml:space="preserve">Lume and Lime</t>
  </si>
  <si>
    <t xml:space="preserve">M3M SCO Market, Sector 113, Gurugram (3,800 sq ft bistro)</t>
  </si>
  <si>
    <t xml:space="preserve">European-Mediterranean cafe, 9am–11pm (Lab Mag, Oct 2026).</t>
  </si>
  <si>
    <t xml:space="preserve">Wave 4: coverage describes a bistro with no coffee programme.</t>
  </si>
  <si>
    <t xml:space="preserve">1 of 2 read: https://www.thelabmagofficial.com/new-tables-for-october-the-delhi-ncr-restaurants-cafes-and-bars-to-try/</t>
  </si>
  <si>
    <t xml:space="preserve">C260</t>
  </si>
  <si>
    <t xml:space="preserve">Whizz Coffee (by Craft Coffee Box)</t>
  </si>
  <si>
    <t xml:space="preserve">Jatindas Road</t>
  </si>
  <si>
    <t xml:space="preserve">Group roasts own</t>
  </si>
  <si>
    <t xml:space="preserve">Own roastery (Craft Coffee group)</t>
  </si>
  <si>
    <t xml:space="preserve">Budget Gen-Z artisanal coffee hub (t2, Oct 2026).</t>
  </si>
  <si>
    <t xml:space="preserve">https://t2online.in/goodlife/food-beverage/whizz-coffee-from-craft-coffee-box-is-brewing-a-new-sip-culture-where-artisanal-cups-meet-affordable-prices/2008421</t>
  </si>
  <si>
    <t xml:space="preserve">1 of 1 read: https://t2online.in/goodlife/food-beverage/whizz-coffee-from-craft-coffee-box-is-brewing-a-new-sip-culture-where-artisanal-cups-meet-affordable-prices/2008421</t>
  </si>
  <si>
    <t xml:space="preserve">C270</t>
  </si>
  <si>
    <t xml:space="preserve">Cafe 138</t>
  </si>
  <si>
    <t xml:space="preserve">Northeast</t>
  </si>
  <si>
    <t xml:space="preserve">Assam</t>
  </si>
  <si>
    <t xml:space="preserve">Guwahati</t>
  </si>
  <si>
    <t xml:space="preserve">Instagram bio: 'A new Cafe in Guwahati!'.</t>
  </si>
  <si>
    <t xml:space="preserve">New — blend.</t>
  </si>
  <si>
    <t xml:space="preserve">@cafe138_</t>
  </si>
  <si>
    <t xml:space="preserve">https://www.instagram.com/cafe138_/</t>
  </si>
  <si>
    <t xml:space="preserve">Coffee programme unknown Wave 4: not found in a web search beyond its source roundup — confirm it is open (Instagram / Google Maps) before outreach.</t>
  </si>
  <si>
    <t xml:space="preserve">C014</t>
  </si>
  <si>
    <t xml:space="preserve">New (late 2025)</t>
  </si>
  <si>
    <t xml:space="preserve">Doppio Coffee — Colaba</t>
  </si>
  <si>
    <t xml:space="preserve">Colaba</t>
  </si>
  <si>
    <t xml:space="preserve">New outpost for specialty coffee fans (Foodies of India, Nov 2025).</t>
  </si>
  <si>
    <t xml:space="preserve">https://foodiesofindia.wordpress.com/2025/11/03/25-new-restaurants-cafes-in-mumbai-you-need-to-try-this-november-2025/</t>
  </si>
  <si>
    <t xml:space="preserve">Processes / format: Single origin; Brew: Pour over</t>
  </si>
  <si>
    <t xml:space="preserve">2 of 3 read: https://foodiesofindia.wordpress.com/2025/11/03/25-new-restaurants-cafes-in-mumbai-you-need-to-try-this-november-2025/ https://www.restaurantindia.in/article/Have-a-fun-dining-experience-with-Doppio.7025</t>
  </si>
  <si>
    <t xml:space="preserve">C025</t>
  </si>
  <si>
    <t xml:space="preserve">Tuskin Coffee</t>
  </si>
  <si>
    <t xml:space="preserve">Specialty coffee spot (Foodies of India, Oct 2025).</t>
  </si>
  <si>
    <t xml:space="preserve">https://foodiesofindia.wordpress.com/2025/10/01/25-new-restaurants-cafes-to-check-out-in-mumbai-this-october-2025/</t>
  </si>
  <si>
    <t xml:space="preserve">1 of 1 read: https://foodiesofindia.wordpress.com/2025/10/01/25-new-restaurants-cafes-to-check-out-in-mumbai-this-october-2025/</t>
  </si>
  <si>
    <t xml:space="preserve">C049</t>
  </si>
  <si>
    <t xml:space="preserve">Cafe Chikory</t>
  </si>
  <si>
    <t xml:space="preserve">43 Raja Bahadur Compound, Tamarind Lane, Fort</t>
  </si>
  <si>
    <t xml:space="preserve">~₹350 for two</t>
  </si>
  <si>
    <t xml:space="preserve">For brunch and specialty coffee lovers (Oct 2025).</t>
  </si>
  <si>
    <t xml:space="preserve">Brew: South Indian filter, Affogato; ₹350 for two</t>
  </si>
  <si>
    <t xml:space="preserve">+91 77189 91865</t>
  </si>
  <si>
    <t xml:space="preserve">2 of 2 read: https://www.district.in/dining/mumbai/cafe-chikory-fort https://foodiesofindia.wordpress.com/2025/10/01/25-new-restaurants-cafes-to-check-out-in-mumbai-this-october-2025/</t>
  </si>
  <si>
    <t xml:space="preserve">C096</t>
  </si>
  <si>
    <t xml:space="preserve">KOMO by Kaffa</t>
  </si>
  <si>
    <t xml:space="preserve">Rajpath Rangoli Road, behind Rajpath Club</t>
  </si>
  <si>
    <t xml:space="preserve">Yes (Kaffa Coffee Roasters)</t>
  </si>
  <si>
    <t xml:space="preserve">'Gujarat's biggest cafe', opened 10 Nov 2025 by Kaffa Coffee Roasters' owner. Wave 4: opened 10 Nov 2025 by Anand Heena Thakkar, owner of Kaffa Coffee Roasters.</t>
  </si>
  <si>
    <t xml:space="preserve">Roaster-owned; guest-lot / collab only.</t>
  </si>
  <si>
    <t xml:space="preserve">https://curlytales.com/india/food/cafe-hoppers-rejoice-gujarats-biggest-cafe-komo-by-kaffa-opens-in-ahmedabad/</t>
  </si>
  <si>
    <t xml:space="preserve">Roasters named in articles about it: Kaffa Coffee Roasters</t>
  </si>
  <si>
    <t xml:space="preserve">1 of 1 read: https://curlytales.com/india/food/cafe-hoppers-rejoice-gujarats-biggest-cafe-komo-by-kaffa-opens-in-ahmedabad/</t>
  </si>
  <si>
    <t xml:space="preserve">C001</t>
  </si>
  <si>
    <t xml:space="preserve">Established</t>
  </si>
  <si>
    <t xml:space="preserve">Linzz Cafe</t>
  </si>
  <si>
    <t xml:space="preserve">Chhatrapati Sambhajinagar (Aurangabad)</t>
  </si>
  <si>
    <t xml:space="preserve">Established: position as a second roaster / rotating single estate; walk-in cupping with the head barista.</t>
  </si>
  <si>
    <t xml:space="preserve">Instagram bio: 'Artisanal coffee | Authentic global bites'.</t>
  </si>
  <si>
    <t xml:space="preserve">Only artisanal-coffee cafe found in city.</t>
  </si>
  <si>
    <t xml:space="preserve">@linzz.csn</t>
  </si>
  <si>
    <t xml:space="preserve">https://www.instagram.com/linzz.csn/</t>
  </si>
  <si>
    <t xml:space="preserve">C002</t>
  </si>
  <si>
    <t xml:space="preserve">EssPressOh Cafe</t>
  </si>
  <si>
    <t xml:space="preserve">API Rd, MIDC Chilkalthana (listed as 'Ess Press Oh')</t>
  </si>
  <si>
    <t xml:space="preserve">4.1 (148)</t>
  </si>
  <si>
    <t xml:space="preserve">Espresso + waffles cafe.</t>
  </si>
  <si>
    <t xml:space="preserve">http://www.esspressoh.com/</t>
  </si>
  <si>
    <t xml:space="preserve">http://esspressoh.com/about-us/</t>
  </si>
  <si>
    <t xml:space="preserve">Esspressohindia@gmail.com · +91 80553 33333</t>
  </si>
  <si>
    <t xml:space="preserve">3 of 4 read: http://www.esspressoh.com/ https://esspressoh.com/about-us/ https://esspressoh.com/menu/</t>
  </si>
  <si>
    <t xml:space="preserve">C003</t>
  </si>
  <si>
    <t xml:space="preserve">NoMeatNaan</t>
  </si>
  <si>
    <t xml:space="preserve">CIDCO + Connaught</t>
  </si>
  <si>
    <t xml:space="preserve">Bakery and coffee shop (Instagram).</t>
  </si>
  <si>
    <t xml:space="preserve">@nomeatnaan_bakery</t>
  </si>
  <si>
    <t xml:space="preserve">https://www.instagram.com/nomeatnaan_bakery/</t>
  </si>
  <si>
    <t xml:space="preserve">C004</t>
  </si>
  <si>
    <t xml:space="preserve">Coffee Sanskruti</t>
  </si>
  <si>
    <t xml:space="preserve">Kolhapur</t>
  </si>
  <si>
    <t xml:space="preserve">S2 Royal Classic, Rajarampuri 3rd Lane, near Jain Temple</t>
  </si>
  <si>
    <t xml:space="preserve">Small coffee bar: hot and cold coffees; 4.4 (97); closed Mondays.</t>
  </si>
  <si>
    <t xml:space="preserve">Self-described premium coffee cafe.</t>
  </si>
  <si>
    <t xml:space="preserve">Call / WhatsApp</t>
  </si>
  <si>
    <t xml:space="preserve">https://www.coffeesanskruti.com/</t>
  </si>
  <si>
    <t xml:space="preserve">+91 96737 35453 (Yappe)</t>
  </si>
  <si>
    <t xml:space="preserve">Brew: Cold brew; Commodity brands: Starbucks</t>
  </si>
  <si>
    <t xml:space="preserve">coffeesanskruti@gmail.com · +91 96737 35453</t>
  </si>
  <si>
    <t xml:space="preserve">2 of 2 read: https://www.coffeesanskruti.com/ https://yappe.in/maharashtra/kolhapur/coffee-sanskruti/225223</t>
  </si>
  <si>
    <t xml:space="preserve">C005</t>
  </si>
  <si>
    <t xml:space="preserve">Grain de Cafe</t>
  </si>
  <si>
    <t xml:space="preserve">NCC Bhavan Rd, opp. Shivaji University, Vidya Nagar</t>
  </si>
  <si>
    <t xml:space="preserve">Cafe-restaurant used for parties; 4.2 (740); food reviews mixed.</t>
  </si>
  <si>
    <t xml:space="preserve">Coffee cafe (Instagram).</t>
  </si>
  <si>
    <t xml:space="preserve">@graindecafe_kolhapur</t>
  </si>
  <si>
    <t xml:space="preserve">https://www.instagram.com/graindecafe_kolhapur/</t>
  </si>
  <si>
    <t xml:space="preserve">+91 95957 09599 (Yappe)</t>
  </si>
  <si>
    <t xml:space="preserve">C006</t>
  </si>
  <si>
    <t xml:space="preserve">The Treaat Coffee</t>
  </si>
  <si>
    <t xml:space="preserve">Shop 8, Shahaji Law College Complex, Rajarampuri Main Rd</t>
  </si>
  <si>
    <t xml:space="preserve">Shakes, smoothies, hazelnut mocha; 4.4 (54).</t>
  </si>
  <si>
    <t xml:space="preserve">Coffee, smoothies, shakes (Instagram).</t>
  </si>
  <si>
    <t xml:space="preserve">@the.treaat.coffee_kolhapur</t>
  </si>
  <si>
    <t xml:space="preserve">https://www.instagram.com/the.treaat.coffee_kolhapur/</t>
  </si>
  <si>
    <t xml:space="preserve">+91 96042 57000 (Yappe)</t>
  </si>
  <si>
    <t xml:space="preserve">1 of 1 read: https://yappe.in/maharashtra/kolhapur/the-treaat-coffee-in-kolhapur/657955</t>
  </si>
  <si>
    <t xml:space="preserve">C018</t>
  </si>
  <si>
    <t xml:space="preserve">Kalopsia Artisan Coffee</t>
  </si>
  <si>
    <t xml:space="preserve">Cold brew, Turkish and Vietnamese coffee; Mahlkönig K30 grinder.</t>
  </si>
  <si>
    <t xml:space="preserve">Tiny owner-run Bandra counter with direct-trade practices pouring Indian single-origin micro-lots (Mumbai specialty guides 2026).</t>
  </si>
  <si>
    <t xml:space="preserve">Ideal: buys micro-lots from outside roasters — lead with your rarest single estate.</t>
  </si>
  <si>
    <t xml:space="preserve">https://www.localspecialtycoffee.com/cities/specialty-coffee-mumbai/single-origin</t>
  </si>
  <si>
    <t xml:space="preserve">Indian origins/estates: Araku, Pulney / Kodaikanal; Imported origins: Vietnam, Indonesia; Processes / format: Single origin, Micro-lot; Brew: Cold brew, Pour over, Siphon, Tasting flight / omakase</t>
  </si>
  <si>
    <t xml:space="preserve">2 of 2 read: https://www.localspecialtycoffee.com/cities/specialty-coffee-mumbai/single-origin https://kaapimachines.com/for-coffee-lovers-in-mumbai</t>
  </si>
  <si>
    <t xml:space="preserve">C029</t>
  </si>
  <si>
    <t xml:space="preserve">Kerb Coffee Co.</t>
  </si>
  <si>
    <t xml:space="preserve">Khar West</t>
  </si>
  <si>
    <t xml:space="preserve">Hiring baristas in 2026 (Glassdoor listing).</t>
  </si>
  <si>
    <t xml:space="preserve">Indie in Khar specialty belt — sample drop.</t>
  </si>
  <si>
    <t xml:space="preserve">https://www.glassdoor.co.in/Job/mumbai-barista-jobs-SRCH_IL.0,6_IC2851180_KO7,14.htm</t>
  </si>
  <si>
    <t xml:space="preserve">Tier/coffee programme not confirmed Wave 4: not found in a web search beyond its source roundup — confirm it is open (Instagram / Google Maps) before outreach.</t>
  </si>
  <si>
    <t xml:space="preserve">C032</t>
  </si>
  <si>
    <t xml:space="preserve">Mazi Mumbai</t>
  </si>
  <si>
    <t xml:space="preserve">Mazi Coffee Bar &amp; Kitchen — 27C Sujata Rajpipla CHS, Juhu Tara Rd, Santacruz W</t>
  </si>
  <si>
    <t xml:space="preserve">Beverage Union roasts for the bar: classics, special cold brews, Orange Brew, passion-fruit espresso tonic.</t>
  </si>
  <si>
    <t xml:space="preserve">Beverage Union coffee roasters</t>
  </si>
  <si>
    <t xml:space="preserve">EazyDiner 4.5 (222)</t>
  </si>
  <si>
    <t xml:space="preserve">Position as a guest single estate beside Beverage Union for the specials menu.</t>
  </si>
  <si>
    <t xml:space="preserve">Instagram: artisanal community cafe, 8am–11pm. Wave 4: Free Press Journal review names Beverage Union as the roaster.</t>
  </si>
  <si>
    <t xml:space="preserve">Community cafe — blend + filter.</t>
  </si>
  <si>
    <t xml:space="preserve">@mazicoffee</t>
  </si>
  <si>
    <t xml:space="preserve">https://www.instagram.com/mazicoffee/</t>
  </si>
  <si>
    <t xml:space="preserve">C033</t>
  </si>
  <si>
    <t xml:space="preserve">Mokai</t>
  </si>
  <si>
    <t xml:space="preserve">Moved to Pali Hill, Bandra (Mokai 2.0, Mar 2026)</t>
  </si>
  <si>
    <t xml:space="preserve">House blend from Chikmagalur; IMPORTED blends from Singapore, South America and Africa via Common Man Roasters; Kyoto cold brew; Southeast Asian 'Traveller's menu'.</t>
  </si>
  <si>
    <t xml:space="preserve">Common Man Roasters (Singapore) + a Chikmagalur house blend</t>
  </si>
  <si>
    <t xml:space="preserve">₹1,400–1,500 for two</t>
  </si>
  <si>
    <t xml:space="preserve">Imported coffees carry the premium slot.</t>
  </si>
  <si>
    <t xml:space="preserve">Indian naturals/anaerobics as the 'traveller' origins; a Kyoto-drip lot.</t>
  </si>
  <si>
    <t xml:space="preserve">Import-replacement pitch: landed cost and freshness vs Singapore imports; tie to their Asian menu with Northeast Indian lots.</t>
  </si>
  <si>
    <t xml:space="preserve">All-day brunch cafe known for matcha lineup; on Mumbai specialty lists. Wave 4: Time Out names Common Man Roasters (Singapore) as roasting partner.</t>
  </si>
  <si>
    <t xml:space="preserve">House espresso blend.</t>
  </si>
  <si>
    <t xml:space="preserve">https://www.district.in/blog/speciality-coffee-spots-mumbai</t>
  </si>
  <si>
    <t xml:space="preserve">Indian origins/estates: Chikmagalur; Imported origins: Brazil, Burundi; Processes / format: House blend; Brew: South Indian filter, Moka pot, Cortado, Affogato; Foreign roasters: Common Man Roasters; Prices: Coffee • ₹600 for two | Coffee • ₹800 for two | Coffee • ₹1400 for two; ₹600 for two</t>
  </si>
  <si>
    <t xml:space="preserve">5 of 5 read: https://www.district.in/blog/speciality-coffee-spots-mumbai https://www.timeout.com/mumbai/restaurants/mokai https://www.timeout.com/mumbai/news/this-famous-cafe-is-shifting-from-bandra-to-bandra-031826 https://curlytales.com/ctexclusive-streets-of-japan-come-alive-at-bandra-in-the-form-of-new-coffeehouse-dining-spot-mokai</t>
  </si>
  <si>
    <t xml:space="preserve">C034</t>
  </si>
  <si>
    <t xml:space="preserve">Mumbai Blondie</t>
  </si>
  <si>
    <t xml:space="preserve">Blondie by Bastian Hospitality — Khar; sister cafes Janu (Juhu) and The Blondie House (Versova)</t>
  </si>
  <si>
    <t xml:space="preserve">Mumbai's first matcha bar + Slow Bar (V60, French press, AeroPress); Chikmagalur + Ethiopia and Costa Rica single origins.</t>
  </si>
  <si>
    <t xml:space="preserve">Imported single origins on the slow bar.</t>
  </si>
  <si>
    <t xml:space="preserve">Group deal with Bastian Hospitality (Blondie, Janu, Blondie House): Indian single origins for the slow bar across all three.</t>
  </si>
  <si>
    <t xml:space="preserve">Instagram: specialty coffee, cocktails, matcha &amp; bakes, 9am–midnight.</t>
  </si>
  <si>
    <t xml:space="preserve">Coffee-cocktail programme.</t>
  </si>
  <si>
    <t xml:space="preserve">@mumbaiblondie</t>
  </si>
  <si>
    <t xml:space="preserve">https://www.instagram.com/mumbaiblondie/</t>
  </si>
  <si>
    <t xml:space="preserve">https://www.restaurantindia.in/news/bastian-hospitality-enters-coffee-space-with-blondie.n12554</t>
  </si>
  <si>
    <t xml:space="preserve">C043</t>
  </si>
  <si>
    <t xml:space="preserve">RITUAL daily coffee</t>
  </si>
  <si>
    <t xml:space="preserve">Pali Market, Pali Hill + outlet inside Dawntown sneaker store (Bandra)</t>
  </si>
  <si>
    <t xml:space="preserve">Locally sourced single-origin beans; matcha menu; Vietnamese cold brew.</t>
  </si>
  <si>
    <t xml:space="preserve">Listed on Mumbai Coffee Collective's curated specialty list.</t>
  </si>
  <si>
    <t xml:space="preserve">Specialty indie — sample drop.</t>
  </si>
  <si>
    <t xml:space="preserve">+91 90829 43228 (reservations)</t>
  </si>
  <si>
    <t xml:space="preserve">Chef Rahul Ramnani &amp; Meher Kohli (founders)</t>
  </si>
  <si>
    <t xml:space="preserve">https://mumbaicoffeecollective.com/pages/specialty-coffee-mumbai</t>
  </si>
  <si>
    <t xml:space="preserve">Location/format not confirmed</t>
  </si>
  <si>
    <t xml:space="preserve">1 of 5 read: https://wanderlog.com/place/details/9635733/ritual-daily-coffee</t>
  </si>
  <si>
    <t xml:space="preserve">C044</t>
  </si>
  <si>
    <t xml:space="preserve">Shelter</t>
  </si>
  <si>
    <t xml:space="preserve">28 JP Rd, Versova (3 floors) — Javaphile group</t>
  </si>
  <si>
    <t xml:space="preserve">~₹1,200 for two; District 4.6 (1,051)</t>
  </si>
  <si>
    <t xml:space="preserve">Reviews call the coffee 'average' while the food is praised.</t>
  </si>
  <si>
    <t xml:space="preserve">Pitch with Javaphile (same group); lead with an upgrade of the house espresso.</t>
  </si>
  <si>
    <t xml:space="preserve">Instagram: neighbourhood cafe — food, speciality coffee, unhurried moments.</t>
  </si>
  <si>
    <t xml:space="preserve">@sheltercafe.mumbai</t>
  </si>
  <si>
    <t xml:space="preserve">https://www.instagram.com/sheltercafe.mumbai/</t>
  </si>
  <si>
    <t xml:space="preserve">+91 93214 70550 (LBB)</t>
  </si>
  <si>
    <t xml:space="preserve">₹1200 for two</t>
  </si>
  <si>
    <t xml:space="preserve">+91 93214 70550</t>
  </si>
  <si>
    <t xml:space="preserve">5 of 5 read: https://www.district.in/dining/mumbai/shelter-x-coffee-by-javaphile-versova https://hospibuz.com/shelter-by-javaphile-in-versova-unveils-a-new-chapter-in-community-dining https://curlytales.com/more-than-a-regular-cafe-this-3-storeyed-haunt-in-versova-has-a-library-cafe-rooftop-vibes-more https://www.knocksense.com/mumbai/bandras-javaphile-has-a-new-shelter-in-versova-it-is-the-talk-of-the-town</t>
  </si>
  <si>
    <t xml:space="preserve">C045</t>
  </si>
  <si>
    <t xml:space="preserve">The Brew Cafe — Thakur Village</t>
  </si>
  <si>
    <t xml:space="preserve">1 Viceroy Court, Thakur Village, Kandivali E</t>
  </si>
  <si>
    <t xml:space="preserve">~₹500 for two (pure veg)</t>
  </si>
  <si>
    <t xml:space="preserve">Instagram: specialty coffee, freshly roasted beans, 9am–midnight.</t>
  </si>
  <si>
    <t xml:space="preserve">@thebrewcafemumbai</t>
  </si>
  <si>
    <t xml:space="preserve">https://www.instagram.com/thebrewcafemumbai/</t>
  </si>
  <si>
    <t xml:space="preserve">₹ 500 for two</t>
  </si>
  <si>
    <t xml:space="preserve">1 of 1 read: https://www.eazydiner.com/mumbai/the-brew-cafe-kandivali-east-western-suburbs-695614</t>
  </si>
  <si>
    <t xml:space="preserve">C046</t>
  </si>
  <si>
    <t xml:space="preserve">bōkka coffee</t>
  </si>
  <si>
    <t xml:space="preserve">16th Rd, Pali Hill, Bandra</t>
  </si>
  <si>
    <t xml:space="preserve">India's first coffee-on-tap: ready-to-serve tap drinks, 18-hour cold drip, matcha on tap; spill-proof cans.</t>
  </si>
  <si>
    <t xml:space="preserve">Batch-brew/cold-drip lots sized for tap systems; can-friendly cold brew concentrate.</t>
  </si>
  <si>
    <t xml:space="preserve">Pitch a cold-drip lot with fixed specs for their tap system.</t>
  </si>
  <si>
    <t xml:space="preserve">Instagram: specialty coffee shop, 3 outlets, 8am–11pm.</t>
  </si>
  <si>
    <t xml:space="preserve">Fast-growing indie chain — rotating single estate.</t>
  </si>
  <si>
    <t xml:space="preserve">@bokkacoffeemumbai</t>
  </si>
  <si>
    <t xml:space="preserve">https://www.instagram.com/bokkacoffeemumbai/</t>
  </si>
  <si>
    <t xml:space="preserve">Karishma Dalal (Bombay Salad Co), Karan Gaba, barista Travis Braganza</t>
  </si>
  <si>
    <t xml:space="preserve">C050</t>
  </si>
  <si>
    <t xml:space="preserve">Cafe Essence</t>
  </si>
  <si>
    <t xml:space="preserve">Devidayal Rd, Mulund W</t>
  </si>
  <si>
    <t xml:space="preserve">Pure-veg/Jain cafe with coffee, 8am–midnight.</t>
  </si>
  <si>
    <t xml:space="preserve">@cafeessence.mulund</t>
  </si>
  <si>
    <t xml:space="preserve">https://www.instagram.com/cafeessence.mulund/</t>
  </si>
  <si>
    <t xml:space="preserve">Wave 4b: only an 'Essence Cafe' listing found (location not stated) — confirm. Mulund already has Blue Tokai and Third Wave outlets.</t>
  </si>
  <si>
    <t xml:space="preserve">1 of 1 read: https://wanderlog.com/place/details/2904960/essence-cafe</t>
  </si>
  <si>
    <t xml:space="preserve">C053</t>
  </si>
  <si>
    <t xml:space="preserve">Greenr</t>
  </si>
  <si>
    <t xml:space="preserve">Goregaon (International Business Park, Oberoi Garden City — 12th outlet), Pali Hill (Bandra), Breach Candy; also NCR</t>
  </si>
  <si>
    <t xml:space="preserve">Plant-based menu with 'specialty coffee' (Goregaon); roaster not named.</t>
  </si>
  <si>
    <t xml:space="preserve">~₹2,500 for two (Bandra)</t>
  </si>
  <si>
    <t xml:space="preserve">12-outlet plant-based chain: central-procurement pitch — a house espresso plus an oat-milk-friendly single estate.</t>
  </si>
  <si>
    <t xml:space="preserve">12th India outlet opened at a Mumbai commercial hub with specialty coffee offerings.</t>
  </si>
  <si>
    <t xml:space="preserve">Chain — central procurement pitch.</t>
  </si>
  <si>
    <t xml:space="preserve">https://www.restaurantindia.in/news/greenr-opens-12th-outlet-in-mumbai-s-goregaon-as-plant-based-chain-expands.n17065</t>
  </si>
  <si>
    <t xml:space="preserve">Coffee sourcing unknown</t>
  </si>
  <si>
    <t xml:space="preserve">₹500 for two</t>
  </si>
  <si>
    <t xml:space="preserve">4 of 4 read: https://indianretailer.com/news/ballard-pier-opens-mumbai-retail-and-dining https://www.restaurantindia.in/news/greenr-opens-12th-outlet-in-mumbai-s-goregaon-as-plant-based-chain-expands.n17065 https://www.knocksense.com/mumbai/bandras-greenr-cafe-beckons-foodies-in-mumbai-to-embrace-sustainable-fare-choices https://elledecor.in/new-greenr-cafe-mumbai-by-studio-hohma-and-stand-design/</t>
  </si>
  <si>
    <t xml:space="preserve">C054</t>
  </si>
  <si>
    <t xml:space="preserve">Kala Ghoda Cafe</t>
  </si>
  <si>
    <t xml:space="preserve">Own blend of organic beans (origin not named); cafe + gallery + wine.</t>
  </si>
  <si>
    <t xml:space="preserve">Long-running gallery-cafe, coffee + waffles.</t>
  </si>
  <si>
    <t xml:space="preserve">Heritage cafe; blend.</t>
  </si>
  <si>
    <t xml:space="preserve">https://theculturetrip.com/asia/india/articles/the-best-coffee-shops-in-mumbai</t>
  </si>
  <si>
    <t xml:space="preserve">1 of 2 read: https://fathomaway.com/kala-ghoda-cafe/</t>
  </si>
  <si>
    <t xml:space="preserve">C057</t>
  </si>
  <si>
    <t xml:space="preserve">Bouffage Cafe and Bistro</t>
  </si>
  <si>
    <t xml:space="preserve">Sanskrutik Sankul, Ambazari Rd, Shankar Nagar</t>
  </si>
  <si>
    <t xml:space="preserve">Corridor Seven Coffee Roasters</t>
  </si>
  <si>
    <t xml:space="preserve">Pour-over quality flagged by reviewers.</t>
  </si>
  <si>
    <t xml:space="preserve">Better filter beans + barista calibration.</t>
  </si>
  <si>
    <t xml:space="preserve">Serves pour-over (reviews mixed on quality).</t>
  </si>
  <si>
    <t xml:space="preserve">098237 77849 (Curly Tales)</t>
  </si>
  <si>
    <t xml:space="preserve">Anshul &amp; Dewansh Jaiswal</t>
  </si>
  <si>
    <t xml:space="preserve">https://www.nagpurtoday.in/best-cafes-in-nagpur-2026-our-independent-ranking-based-on-reviews-coffee-quality-ambience-customer-experience/</t>
  </si>
  <si>
    <t xml:space="preserve">Roasters named in articles about it: Corridor Seven Coffee Roasters; Signals: Coming soon</t>
  </si>
  <si>
    <t xml:space="preserve">4 of 4 read: https://www.nagpurtoday.in/best-cafes-in-nagpur-2026-our-independent-ranking-based-on-reviews-coffee-quality-ambience-customer-experience/ https://curlytales.com/every-coffee-lover-must-head-to-bouffage-cafe-in-nagpur https://www.nagpurtoday.in/inside-the-grand-feast-a-conversation-with-anshul-and-dewansh-jaiswal-of-bouffage/ https://wanderlog.com/place/details/3061288/bouffage-cafe-and-bistro</t>
  </si>
  <si>
    <t xml:space="preserve">C058</t>
  </si>
  <si>
    <t xml:space="preserve">Oro's India</t>
  </si>
  <si>
    <t xml:space="preserve">ORO's Wood-Fired Pizza &amp; Speciality Coffee — Ved Bhumi Apt, Abhyankar Marg, Dhantoli</t>
  </si>
  <si>
    <t xml:space="preserve">~₹1,500 for two (pure veg)</t>
  </si>
  <si>
    <t xml:space="preserve">Instagram: specialty coffee, pizza, pasta, bakes, 9am–midnight.</t>
  </si>
  <si>
    <t xml:space="preserve">Nagpur's specialty-labelled cafe.</t>
  </si>
  <si>
    <t xml:space="preserve">@oros_india</t>
  </si>
  <si>
    <t xml:space="preserve">https://www.instagram.com/oros_india/</t>
  </si>
  <si>
    <t xml:space="preserve">Prices: o at ORO's: Gourmet Wood-Fired Pizza &amp; Speciality Coffee is ₹ 1500. You can save EXTRA; ₹ 1500 for two</t>
  </si>
  <si>
    <t xml:space="preserve">1 of 1 read: https://www.eazydiner.com/nagpur/oros-gourmet-wood-fired-pizza-speciality-coffee-dhantoli-nagpur-713990</t>
  </si>
  <si>
    <t xml:space="preserve">C059</t>
  </si>
  <si>
    <t xml:space="preserve">Retreat Cafe &amp; Eatery</t>
  </si>
  <si>
    <t xml:space="preserve">'Best emerging cafe' in Nagpur Today's 2026 ranking.</t>
  </si>
  <si>
    <t xml:space="preserve">C060</t>
  </si>
  <si>
    <t xml:space="preserve">Three Beans Coffee Roasters</t>
  </si>
  <si>
    <t xml:space="preserve">Civil Lines (Sunnydale, Rajlaxmi Marg) + Coffee Bar, Gorepeth (Janki Apts, JB Thakkar Marg) + Dharampeth</t>
  </si>
  <si>
    <t xml:space="preserve">Unclear — trades as 'Coffee Roasters', but a company profile says it serves coffee from well-regarded Indian roasters</t>
  </si>
  <si>
    <t xml:space="preserve">Cold brews, matcha lattes, frappes; the Coffee Bar format adds cocktails; hosts home-brewing workshops (Insider, Jan 2024).</t>
  </si>
  <si>
    <t xml:space="preserve">Not published (outside Indian specialty roasters, per a company profile)</t>
  </si>
  <si>
    <t xml:space="preserve">₹600 for two; EazyDiner 4.1 (~3K)</t>
  </si>
  <si>
    <t xml:space="preserve">3-outlet Nagpur group buying from outside roasters: pitch a guest single estate and co-host a brewing workshop.</t>
  </si>
  <si>
    <t xml:space="preserve">Solid coffee choice, 4.1 (rokazu). Wave 4b: est. 2017, 20+ staff (company profile).</t>
  </si>
  <si>
    <t xml:space="preserve">https://rokazu.com/coffee-shops-in-nagpur-india/</t>
  </si>
  <si>
    <t xml:space="preserve">Commodity brands: Starbucks; Prices: s Coffee Bar? The cost of two at Three Beans Coffee Bar is ₹ 600. You can save EXTRA; ₹ 600 for two</t>
  </si>
  <si>
    <t xml:space="preserve">2 of 4 read: https://www.eazydiner.com/nagpur/three-beans-coffee-bar-dharampeth-nagpur-700706 https://rokazu.com/coffee-shops-in-nagpur-india/</t>
  </si>
  <si>
    <t xml:space="preserve">C061</t>
  </si>
  <si>
    <t xml:space="preserve">Brewin Cafe</t>
  </si>
  <si>
    <t xml:space="preserve">Instagram: cafe | speciality coffee | bake house.</t>
  </si>
  <si>
    <t xml:space="preserve">@brewincafe_nagpur</t>
  </si>
  <si>
    <t xml:space="preserve">https://www.instagram.com/brewincafe_nagpur/</t>
  </si>
  <si>
    <t xml:space="preserve">C062</t>
  </si>
  <si>
    <t xml:space="preserve">Coffeeboo Specialty Coffee</t>
  </si>
  <si>
    <t xml:space="preserve">VNIT Health Center, Adisun Sq, Bajaj Nagar (2nd outlet)</t>
  </si>
  <si>
    <t xml:space="preserve">Instagram: 'the original specialty coffee shop in Nagpur'; has a LinkedIn company page.</t>
  </si>
  <si>
    <t xml:space="preserve">@coffeebooco</t>
  </si>
  <si>
    <t xml:space="preserve">https://www.instagram.com/coffeebooco/</t>
  </si>
  <si>
    <t xml:space="preserve">+91 92850 77010 (Yappe)</t>
  </si>
  <si>
    <t xml:space="preserve">https://www.linkedin.com/company/coffeeboo-specialty-coffee</t>
  </si>
  <si>
    <t xml:space="preserve">Wave 4: listed as 'coffee roasters' — ask whether they roast.</t>
  </si>
  <si>
    <t xml:space="preserve">2 of 3 read: https://www.linkedin.com/company/coffeeboo-specialty-coffee https://yappe.in/maharashtra/nagpur/coffeeboo/232089</t>
  </si>
  <si>
    <t xml:space="preserve">C064</t>
  </si>
  <si>
    <t xml:space="preserve">Pilgrim — Multi-Roaster Speciality Coffee House</t>
  </si>
  <si>
    <t xml:space="preserve">Multi-roaster cafe</t>
  </si>
  <si>
    <t xml:space="preserve">Nashik</t>
  </si>
  <si>
    <t xml:space="preserve">Pumping Station Rd, College Road</t>
  </si>
  <si>
    <t xml:space="preserve">Rotating roasts 'from various parts of India'; cold brew; closed Tuesdays.</t>
  </si>
  <si>
    <t xml:space="preserve">Multiple Indian roasters (unnamed)</t>
  </si>
  <si>
    <t xml:space="preserve">Reviews flag service speed — not coffee.</t>
  </si>
  <si>
    <t xml:space="preserve">A monthly guest slot with story cards + barista calibration visit.</t>
  </si>
  <si>
    <t xml:space="preserve">Instagram DM @pilgrimcoffee.in with a 1 kg guest-bag offer.</t>
  </si>
  <si>
    <t xml:space="preserve">Instagram bio: 'Multi-Roaster Speciality Coffee House'; Zomato lists it on College Road.</t>
  </si>
  <si>
    <t xml:space="preserve">Top target — multi-roaster model means guest bags every month.</t>
  </si>
  <si>
    <t xml:space="preserve">@pilgrimcoffee.in</t>
  </si>
  <si>
    <t xml:space="preserve">https://www.instagram.com/pilgrimcoffee.in/</t>
  </si>
  <si>
    <t xml:space="preserve">https://www.zomato.com/nashik/pilgrim-speciality-coffee-house-college-road</t>
  </si>
  <si>
    <t xml:space="preserve">1 of 3 read: https://wanderlog.com/place/details/12036201/pilgrim-speciality-coffee-house</t>
  </si>
  <si>
    <t xml:space="preserve">C065</t>
  </si>
  <si>
    <t xml:space="preserve">Cafe Bliss</t>
  </si>
  <si>
    <t xml:space="preserve">Rushiraj Tower, Jehan Circle, Gangapur Road</t>
  </si>
  <si>
    <t xml:space="preserve">Cafe mocha, hot chocolate, black teas, all-day breakfast.</t>
  </si>
  <si>
    <t xml:space="preserve">~₹650 for two; 4.1 (~1.1K)</t>
  </si>
  <si>
    <t xml:space="preserve">Zomato 4.3 (128); since 2010.</t>
  </si>
  <si>
    <t xml:space="preserve">https://www.zomato.com/nashik/cafe-bliss-college-road</t>
  </si>
  <si>
    <t xml:space="preserve">Founded 2010 by a Culinary Institute of America graduate</t>
  </si>
  <si>
    <t xml:space="preserve">2 of 4 read: https://yappe.in/maharashtra/nashik/cafe-bliss/134419 https://wanderlog.com/place/details/1138754/cafe-bliss</t>
  </si>
  <si>
    <t xml:space="preserve">C066</t>
  </si>
  <si>
    <t xml:space="preserve">70 Beans</t>
  </si>
  <si>
    <t xml:space="preserve">Navi Mumbai</t>
  </si>
  <si>
    <t xml:space="preserve">Shop 19, Palm Beach Galleria, Sector 19D, Vashi</t>
  </si>
  <si>
    <t xml:space="preserve">₹1,000–2,000 for two</t>
  </si>
  <si>
    <t xml:space="preserve">'Closest thing Navi Mumbai has to a legendary cafe' (local guide 2026).</t>
  </si>
  <si>
    <t xml:space="preserve">Neighbourhood favourite — blend + single estate.</t>
  </si>
  <si>
    <t xml:space="preserve">https://navimumbaihub.com/best-cafes-navi-mumbai/</t>
  </si>
  <si>
    <t xml:space="preserve">Commodity brands: Starbucks; Prices: Blue Tokai Seawoods/Nerul — (closes 11PM) ₹500–700 ❌ Specialty coffee; ₹2000 for two</t>
  </si>
  <si>
    <t xml:space="preserve">+91 95946 32110 · +91 91368 61570</t>
  </si>
  <si>
    <t xml:space="preserve">4 of 5 read: https://www.district.in/dining/mumbai/70-beans-1-vashi-navi-mumbai https://navimumbaihub.com/best-cafes-navi-mumbai/ https://wanderlog.com/place/details/1506623/70beans https://curlytales.com/ice-cream-sandwiches-at-70-beans-cafe-in-navi-mumbai/</t>
  </si>
  <si>
    <t xml:space="preserve">C067</t>
  </si>
  <si>
    <t xml:space="preserve">Panache Specialty Coffee</t>
  </si>
  <si>
    <t xml:space="preserve">CBD Belapur</t>
  </si>
  <si>
    <t xml:space="preserve">₹1,000–1,285 for two; EazyDiner 4.5 (917)</t>
  </si>
  <si>
    <t xml:space="preserve">Instagram: specialty coffee + all-day breakfast + American diner; 'highest-rated coffee shop in Navi Mumbai'; SCA-certified baristas.</t>
  </si>
  <si>
    <t xml:space="preserve">@panachespecialtycoffee</t>
  </si>
  <si>
    <t xml:space="preserve">https://www.instagram.com/panachespecialtycoffee/</t>
  </si>
  <si>
    <t xml:space="preserve">₹ 1285 for two</t>
  </si>
  <si>
    <t xml:space="preserve">2 of 2 read: https://www.eazydiner.com/mumbai/panache-cbd-belapur-navi-mumbai-684322 https://ilovenavimumbai.com/?p=695</t>
  </si>
  <si>
    <t xml:space="preserve">C070</t>
  </si>
  <si>
    <t xml:space="preserve">One World — The Coffee Studio</t>
  </si>
  <si>
    <t xml:space="preserve">Shop 6 &amp; 7, Fortaleza Complex, Kalyani Nagar</t>
  </si>
  <si>
    <t xml:space="preserve">30+ coffee drinks from small-batch roasters (single origins and blends); single-malt-barrel Cold Whiskey Buzz; espresso float.</t>
  </si>
  <si>
    <t xml:space="preserve">Multiple small-batch roasters (unnamed)</t>
  </si>
  <si>
    <t xml:space="preserve">~₹1,200 for two</t>
  </si>
  <si>
    <t xml:space="preserve">Guest-roaster slot.</t>
  </si>
  <si>
    <t xml:space="preserve">Multi-roaster: ask for a guest-roaster month — 1 kg bags of two contrasting Indian lots + story cards.</t>
  </si>
  <si>
    <t xml:space="preserve">Specialty coffee studio sourcing from small-batch roasters; offers pour-over (Curly Tales). Instagram: premium coffee &amp; global flavours, open till 2am.</t>
  </si>
  <si>
    <t xml:space="preserve">Already buys from multiple small roasters — straight guest-roaster pitch.</t>
  </si>
  <si>
    <t xml:space="preserve">@oneworld_thecoffeestudio</t>
  </si>
  <si>
    <t xml:space="preserve">https://www.instagram.com/oneworld_thecoffeestudio/</t>
  </si>
  <si>
    <t xml:space="preserve">+91 98223 44448 (LBB)</t>
  </si>
  <si>
    <t xml:space="preserve">https://curlytales.com/punes-bustling-cafe-culture-gets-a-new-chic-coffee-place-one-world-the-coffee-studio/amp/</t>
  </si>
  <si>
    <t xml:space="preserve">Area not confirmed</t>
  </si>
  <si>
    <t xml:space="preserve">Processes / format: Single origin; Brew: Pour over, Cold brew; Prices: The cost of two at One World - The Coffee Studio is ₹ 1200.; ₹ 1200 for two</t>
  </si>
  <si>
    <t xml:space="preserve">5 of 5 read: https://www.eazydiner.com/pune/one-world-the-coffee-studio-kalyani-nagar-pune-690333 https://www.eazydiner.com/pune/one-world-the-coffee-studio-kalyani-nagar-pune-690333/menu https://curlytales.com/punes-bustling-cafe-culture-gets-a-new-chic-coffee-place-one-world-the-coffee-studio/amp/ https://curlytales.com/punes-bustling-cafe-culture-gets-a-new-chic-coffee-place-one-world-the-coffee-studio</t>
  </si>
  <si>
    <t xml:space="preserve">C072</t>
  </si>
  <si>
    <t xml:space="preserve">Book Bar</t>
  </si>
  <si>
    <t xml:space="preserve">3 Pune outlets (incl. Kothrud) + Pali Hill, Mumbai</t>
  </si>
  <si>
    <t xml:space="preserve">Multi-outlet: pitch central procurement — fixed roast spec, monthly volume pricing, retail bags for the shelf.</t>
  </si>
  <si>
    <t xml:space="preserve">Artisanal coffee + bookstore (Instagram).</t>
  </si>
  <si>
    <t xml:space="preserve">@bookbarpune</t>
  </si>
  <si>
    <t xml:space="preserve">https://www.instagram.com/bookbarpune/</t>
  </si>
  <si>
    <t xml:space="preserve">Avneesh Gadgil &amp; Rushad Wadia</t>
  </si>
  <si>
    <t xml:space="preserve">Indian origins/estates: Ground Daulat Estate; Rs. 500 for two</t>
  </si>
  <si>
    <t xml:space="preserve">3 of 3 read: https://www.freepressjournal.in/lifestyle/more-than-a-caf-inside-avneesh-gadgils-book-bar-dream-now-brewing-in-mumbai https://www.localsamosa.com/food-and-drinks/book-cafes-in-pune-9356580 https://www.timeout.com/mumbai/restaurants/book-bar</t>
  </si>
  <si>
    <t xml:space="preserve">C074</t>
  </si>
  <si>
    <t xml:space="preserve">Caffeowl Coffee</t>
  </si>
  <si>
    <t xml:space="preserve">Quiet specialty-coffee work cafe (echai.ventures).</t>
  </si>
  <si>
    <t xml:space="preserve">Blend + filter.</t>
  </si>
  <si>
    <t xml:space="preserve">https://echai.ventures/grid/pune/caffeowl-coffee</t>
  </si>
  <si>
    <t xml:space="preserve">C075</t>
  </si>
  <si>
    <t xml:space="preserve">Salt &amp; Coffee</t>
  </si>
  <si>
    <t xml:space="preserve">Kalyani Nagar</t>
  </si>
  <si>
    <t xml:space="preserve">Cozy cafe known for artisanal coffee and healthy food (Yukio 2026).</t>
  </si>
  <si>
    <t xml:space="preserve">House blend.</t>
  </si>
  <si>
    <t xml:space="preserve">https://www.yukio.in/blog/best-coffee-places-in-pune/</t>
  </si>
  <si>
    <t xml:space="preserve">C076</t>
  </si>
  <si>
    <t xml:space="preserve">Aeka's Coffee</t>
  </si>
  <si>
    <t xml:space="preserve">Baner + Creaticity + Alibag</t>
  </si>
  <si>
    <t xml:space="preserve">Runs public brewing workshops (Coffeegearguides 2026). Instagram: 'demystifying specialty coffee' — coffee bar, events, workshops, workspace.</t>
  </si>
  <si>
    <t xml:space="preserve">Education-led — co-host a cupping of your estates.</t>
  </si>
  <si>
    <t xml:space="preserve">@aekascoffee</t>
  </si>
  <si>
    <t xml:space="preserve">https://www.instagram.com/aekascoffee/</t>
  </si>
  <si>
    <t xml:space="preserve">https://coffeegearguides.com/cafes/best-coffee-shops-in-pune</t>
  </si>
  <si>
    <t xml:space="preserve">Brew: Pour over, Siphon, AeroPress, South Indian filter</t>
  </si>
  <si>
    <t xml:space="preserve">1 of 1 read: https://coffeegearguides.com/cafes/best-coffee-shops-in-pune</t>
  </si>
  <si>
    <t xml:space="preserve">C077</t>
  </si>
  <si>
    <t xml:space="preserve">Godaam Speciality Coffee Co.</t>
  </si>
  <si>
    <t xml:space="preserve">1120 Model Colony Rd, Shivajinagar</t>
  </si>
  <si>
    <t xml:space="preserve">Manual bar: V60, French press, AeroPress, Kalita, Origami, Chemex, vacuum siphon; cube croissants; coworking + workshops.</t>
  </si>
  <si>
    <t xml:space="preserve">~₹700 for two</t>
  </si>
  <si>
    <t xml:space="preserve">Eight manual brew methods behind one counter; ~₹700 for two; co-working + pet friendly.</t>
  </si>
  <si>
    <t xml:space="preserve">Manual-brew heavy — sell 2–3 single estates for its brew bar.</t>
  </si>
  <si>
    <t xml:space="preserve">@godaamcoffeeco</t>
  </si>
  <si>
    <t xml:space="preserve">https://www.instagram.com/godaamcoffeeco/</t>
  </si>
  <si>
    <t xml:space="preserve">Imported origins: Vietnam; Processes / format: Single origin; Brew: Cortado, V60, Siphon, French press, Tasting flight / omakase; Prices: ₹700 for two • Italian • Coffee; ₹700 for two; Signals: Now open</t>
  </si>
  <si>
    <t xml:space="preserve">+91 98507 45731</t>
  </si>
  <si>
    <t xml:space="preserve">4 of 5 read: https://www.district.in/dining/pune/godaam-specialty-coffee-co-fc-road https://coffeegearguides.com/cafes/best-coffee-shops-in-pune https://wanderlog.com/place/details/10391496/godaam-speciality-coffee-co https://www.district.in/blog/pune-cafes-for-work</t>
  </si>
  <si>
    <t xml:space="preserve">C078</t>
  </si>
  <si>
    <t xml:space="preserve">Tham Coffee</t>
  </si>
  <si>
    <t xml:space="preserve">Tham Coffee Studio — Wanwadi / Kondhwa</t>
  </si>
  <si>
    <t xml:space="preserve">Cold-brew menu ('Puneri' kokum cold brew, Cold Brew OJ, coconut-water cold brew ₹300); runs workshops and certification courses.</t>
  </si>
  <si>
    <t xml:space="preserve">Offer to supply beans for their workshops/courses + a cold-brew lot.</t>
  </si>
  <si>
    <t xml:space="preserve">Instagram: specialty coffee cafe.</t>
  </si>
  <si>
    <t xml:space="preserve">@tham.coffee</t>
  </si>
  <si>
    <t xml:space="preserve">https://www.instagram.com/tham.coffee/</t>
  </si>
  <si>
    <t xml:space="preserve">Prices: am Coffee Studio? The cost of two at Tham Coffee Studio is ₹ 1000. You can save EXTRA; ₹ 1000 for two</t>
  </si>
  <si>
    <t xml:space="preserve">2 of 2 read: https://www.eazydiner.com/pune/tham-coffee-studio-wanwadi-pune-pune-715902 https://jobs.weekday.works/barista-at-tham-coffee-4388665987</t>
  </si>
  <si>
    <t xml:space="preserve">C079</t>
  </si>
  <si>
    <t xml:space="preserve">Zen Cafe</t>
  </si>
  <si>
    <t xml:space="preserve">Galaxy Garden, North Main Rd, Koregaon Park</t>
  </si>
  <si>
    <t xml:space="preserve">Brew bar with pour-overs; cortado, macchiato, affogato.</t>
  </si>
  <si>
    <t xml:space="preserve">Iced latte ₹360; 4.3 (1,051)</t>
  </si>
  <si>
    <t xml:space="preserve">Dedicated brew bar; artisanal black coffee as AeroPress or pour-over (LBB).</t>
  </si>
  <si>
    <t xml:space="preserve">Brew-bar menu — single estates.</t>
  </si>
  <si>
    <t xml:space="preserve">@zencafepune</t>
  </si>
  <si>
    <t xml:space="preserve">https://www.instagram.com/zencafepune/</t>
  </si>
  <si>
    <t xml:space="preserve">https://lbb.in/delhi/best-coffee-places-pune</t>
  </si>
  <si>
    <t xml:space="preserve">Brew: Pour over, AeroPress, Cold brew, Cortado; Prices: r, turmeric, espresso tonic. A cappuccino here is priced at INR 130. The cafe also has</t>
  </si>
  <si>
    <t xml:space="preserve">4 of 4 read: https://lbb.in/delhi/best-coffee-places-pune https://wanderlog.com/place/details/1414099/zen-cafe https://yappe.in/maharashtra/pune/zen-cafe/166413 https://lbb.in/pune/zen-cafe-serving-coffee-for-29b194</t>
  </si>
  <si>
    <t xml:space="preserve">C080</t>
  </si>
  <si>
    <t xml:space="preserve">Beanery Cafe &amp; Eatery</t>
  </si>
  <si>
    <t xml:space="preserve">Beside Chaturshrungi Temple, Senapati Bapat Rd</t>
  </si>
  <si>
    <t xml:space="preserve">Live coffee counter (brewed to your choice); lychee cold brew; European food; District 3.6–3.8.</t>
  </si>
  <si>
    <t xml:space="preserve">₹1,200–1,500 for two</t>
  </si>
  <si>
    <t xml:space="preserve">Coffee + eatery (Instagram).</t>
  </si>
  <si>
    <t xml:space="preserve">@beanery.pune</t>
  </si>
  <si>
    <t xml:space="preserve">https://www.instagram.com/beanery.pune/</t>
  </si>
  <si>
    <t xml:space="preserve">1 of 2 read: https://curlytales.com/india/food/new-restaurants-in-pune-to-check-out-this-august-including-a-boho-cafe-a-dream-lakeside-spot/</t>
  </si>
  <si>
    <t xml:space="preserve">C082</t>
  </si>
  <si>
    <t xml:space="preserve">Coffee Nation</t>
  </si>
  <si>
    <t xml:space="preserve">Law College Rd, FC Rd, Kalyani Nagar, Flame Univ, Aundh, Viman Nagar</t>
  </si>
  <si>
    <t xml:space="preserve">Casual coffee and light meals on FC Rd; Nutella shake; ~1.6K ratings.</t>
  </si>
  <si>
    <t xml:space="preserve">Volume house blend for 6 outlets.</t>
  </si>
  <si>
    <t xml:space="preserve">Local coffee chain, 6 outlets (Instagram).</t>
  </si>
  <si>
    <t xml:space="preserve">@coffeenation_in</t>
  </si>
  <si>
    <t xml:space="preserve">https://www.instagram.com/coffeenation_in/</t>
  </si>
  <si>
    <t xml:space="preserve">1 of 1 read: https://yappe.in/maharashtra/pune/coffee-nation/319288</t>
  </si>
  <si>
    <t xml:space="preserve">C084</t>
  </si>
  <si>
    <t xml:space="preserve">Lune Cafe &amp; Patisserie</t>
  </si>
  <si>
    <t xml:space="preserve">Sapphire Apts, Lane 6, Ganga Fortune Society, Koregaon Park</t>
  </si>
  <si>
    <t xml:space="preserve">Tiramisu latte, pistachio affogato (UpperCrust); dessert-led; pet- and work-friendly.</t>
  </si>
  <si>
    <t xml:space="preserve">Instagram: cafe &amp; patisserie, 8:30am–11:30pm.</t>
  </si>
  <si>
    <t xml:space="preserve">Patisserie pairing.</t>
  </si>
  <si>
    <t xml:space="preserve">@lunecafepune</t>
  </si>
  <si>
    <t xml:space="preserve">https://www.instagram.com/lunecafepune/</t>
  </si>
  <si>
    <t xml:space="preserve">C085</t>
  </si>
  <si>
    <t xml:space="preserve">Midori Coffee and Eatery</t>
  </si>
  <si>
    <t xml:space="preserve">Baner (Sairaj Apts / Lalit Estate); Curly Tales lists Kharadi</t>
  </si>
  <si>
    <t xml:space="preserve">Boho bungalow cafe; coconut ice latte; wood-fired pizza.</t>
  </si>
  <si>
    <t xml:space="preserve">₹800–1,100 for two; 4.1 (~490)</t>
  </si>
  <si>
    <t xml:space="preserve">Coffee + eatery in Baner (Instagram).</t>
  </si>
  <si>
    <t xml:space="preserve">@midori.pune</t>
  </si>
  <si>
    <t xml:space="preserve">https://www.instagram.com/midori.pune/</t>
  </si>
  <si>
    <t xml:space="preserve">Prices: And Eatery? The cost of two at Midori Coffee And Eatery is ₹ 800. You can save EXTRA; ₹ 800 for two; Signals: Wholesale / cafe partners</t>
  </si>
  <si>
    <t xml:space="preserve">2 of 2 read: https://www.eazydiner.com/pune/midori-coffee-and-eatery-baner-pune-702845 https://curlytales.com/these-new-restaurants-in-pune-are-a-must-try/amp/</t>
  </si>
  <si>
    <t xml:space="preserve">C086</t>
  </si>
  <si>
    <t xml:space="preserve">The Beans Talk Cafe</t>
  </si>
  <si>
    <t xml:space="preserve">2nd floor, Viman Nagar Rd, opp. Wellness Forever, Clover Park</t>
  </si>
  <si>
    <t xml:space="preserve">Rooftop European-style cafe; croissant wheel; cold coffee shakes ₹160; 4.3 (758).</t>
  </si>
  <si>
    <t xml:space="preserve">Coffee-focused work cafe (echai.ventures).</t>
  </si>
  <si>
    <t xml:space="preserve">+91 84849 58128 (Yappe)</t>
  </si>
  <si>
    <t xml:space="preserve">https://echai.ventures/grid/pune/the-beans-talk-cafe</t>
  </si>
  <si>
    <t xml:space="preserve">Prices: r of shakes like, brownie latte, chocolate and espresso for INR 160. If you’re not a co | parle-g, only after eight and smoreo milkshakes starting at INR 110. The Beans Talk Ca</t>
  </si>
  <si>
    <t xml:space="preserve">2 of 3 read: https://lbb.in/pune/rooftop-cafe-in-pune https://yappe.in/maharashtra/pune/the-beans-talk-cafe/320087</t>
  </si>
  <si>
    <t xml:space="preserve">C087</t>
  </si>
  <si>
    <t xml:space="preserve">Mainline Coffee</t>
  </si>
  <si>
    <t xml:space="preserve">Aeon Complex, Navrangpura (Swiggy 4.8, 132)</t>
  </si>
  <si>
    <t xml:space="preserve">Multiple roasters, multiple brew methods, rotating 'fresh arrivals'.</t>
  </si>
  <si>
    <t xml:space="preserve">Multiple roasters (multi-roaster)</t>
  </si>
  <si>
    <t xml:space="preserve">Guest-roaster slot + co-hosted tasting workshop.</t>
  </si>
  <si>
    <t xml:space="preserve">DM @mainline.coffee with a 1 kg guest bag and a tasting-workshop offer.</t>
  </si>
  <si>
    <t xml:space="preserve">Instagram: 'Experience-first coffee space | Multiple brews | Multiple roasters | Workshops | Tastings | Fresh Arrivals | Ahmedabad Coffee Champ'.</t>
  </si>
  <si>
    <t xml:space="preserve">@mainline.coffee</t>
  </si>
  <si>
    <t xml:space="preserve">https://www.instagram.com/mainline.coffee/</t>
  </si>
  <si>
    <t xml:space="preserve">City inferred from bio ('Ahmedabad Coffee Champ') Wave 4: Swiggy places it in Navrangpura, Ahmedabad.</t>
  </si>
  <si>
    <t xml:space="preserve">Brew: Cold brew; Prices: Coffee • ₹200 for two | Coffee • ₹1000 for two | Coffee • ₹1100 for two; ₹200 for two</t>
  </si>
  <si>
    <t xml:space="preserve">1 of 1 read: https://www.district.in/blog/specialty-coffee-ahmedabad</t>
  </si>
  <si>
    <t xml:space="preserve">C088</t>
  </si>
  <si>
    <t xml:space="preserve">The Dark Roast</t>
  </si>
  <si>
    <t xml:space="preserve">Mondeal Square, Prahlad Nagar</t>
  </si>
  <si>
    <t xml:space="preserve">Blue Tokai (per reviewer)</t>
  </si>
  <si>
    <t xml:space="preserve">₹800–1,000 for two</t>
  </si>
  <si>
    <t xml:space="preserve">Blue Tokai account: position as a second roaster / guest single estate.</t>
  </si>
  <si>
    <t xml:space="preserve">Specialty coffee from locally roasted beans + broad menu.</t>
  </si>
  <si>
    <t xml:space="preserve">Already buys local roasts.</t>
  </si>
  <si>
    <t xml:space="preserve">https://theappbarista.com/blog/best-cafes-ahmedabad</t>
  </si>
  <si>
    <t xml:space="preserve">Roasters named on its own pages: Blue Tokai Coffee Roasters; Imported origins: Vietnam; Brew: Pour over, Cold brew, Cortado; ₹1200 for two</t>
  </si>
  <si>
    <t xml:space="preserve">+91 79489 23777</t>
  </si>
  <si>
    <t xml:space="preserve">3 of 4 read: https://www.district.in/dining/ahmedabad/the-dark-roast-prahlad-nagar https://www.knocksense.com/ahmedabad/dark-roast-cafe-ahmedabad-where-flavors-and-friendship-flourish https://wanderlog.com/place/details/1257614/the-dark-roast</t>
  </si>
  <si>
    <t xml:space="preserve">C089</t>
  </si>
  <si>
    <t xml:space="preserve">Z27 Coffee Bar</t>
  </si>
  <si>
    <t xml:space="preserve">Sindhu Bhavan Marg, Thaltej (Ahmedabad) — Udaipur brand</t>
  </si>
  <si>
    <t xml:space="preserve">₹800–1,200 for two; EazyDiner 4.4 (1.2K)</t>
  </si>
  <si>
    <t xml:space="preserve">Coffee bar with rooftop, outdoor &amp; indoor seating (Instagram).</t>
  </si>
  <si>
    <t xml:space="preserve">@z27coffeebarahmedabad</t>
  </si>
  <si>
    <t xml:space="preserve">https://www.instagram.com/z27coffeebarahmedabad/</t>
  </si>
  <si>
    <t xml:space="preserve">Imported origins: Vietnam; Brew: Cold brew, Espresso tonic; Prices: I ordered pizza worth ₹600–700 and a hot coffee — but both were a complete disaste | wo at Z27 Coffee Bar? The cost of two at Z27 Coffee Bar is ₹ 1200. You can save EXTRA; ₹ 1200 for two</t>
  </si>
  <si>
    <t xml:space="preserve">3 of 3 read: https://www.knocksense.com/ahmedabad/from-udaipur-to-ahmedabad-this-boho-cafe-brews-top-notch-coffee-serves-a-global-menu https://www.eazydiner.com/ahmedabad/z27-coffee-bar-thaltej-west-ahmedabad-701141 https://www.eazydiner.com/ahmedabad/z27-coffee-bar-thaltej-west-ahmedabad-701141/menu</t>
  </si>
  <si>
    <t xml:space="preserve">C090</t>
  </si>
  <si>
    <t xml:space="preserve">Blockheads</t>
  </si>
  <si>
    <t xml:space="preserve">One 42, Billionaires St, Ambli Rd, Bodakdev</t>
  </si>
  <si>
    <t xml:space="preserve">Gujarat's first vinyl listening cafe; coffee programme with Subko.</t>
  </si>
  <si>
    <t xml:space="preserve">Subko (collaboration)</t>
  </si>
  <si>
    <t xml:space="preserve">Guest single estate beside Subko.</t>
  </si>
  <si>
    <t xml:space="preserve">Described as specialty / third-wave spot.</t>
  </si>
  <si>
    <t xml:space="preserve">Third-wave indie.</t>
  </si>
  <si>
    <t xml:space="preserve">Roasters named in articles about it: Subko Coffee Roasters; Brew: Tasting flight / omakase</t>
  </si>
  <si>
    <t xml:space="preserve">2 of 3 read: https://www.knocksense.com/ahmedabad/a-musical-escape-in-abad-head-to-blockheads-cafe-inspired-by-japanese-listening-bar-culture https://homegrown.co.in/homegrown-explore/beyond-open-mics-dj-sets-cafs-across-india-are-building-music-centric-communities</t>
  </si>
  <si>
    <t xml:space="preserve">C091</t>
  </si>
  <si>
    <t xml:space="preserve">Brewgarten</t>
  </si>
  <si>
    <t xml:space="preserve">Navrangpura (near Commerce College) + S Bopal Rd</t>
  </si>
  <si>
    <t xml:space="preserve">Espresso Bombon ₹150, nutty cold coffee ₹230, cold brew.</t>
  </si>
  <si>
    <t xml:space="preserve">Specialty coffee house with open coffee bar, rated 4.7. Instagram lists 3 Ahmedabad outlets.</t>
  </si>
  <si>
    <t xml:space="preserve">Open bar — single-estate showcase.</t>
  </si>
  <si>
    <t xml:space="preserve">@brewgarten</t>
  </si>
  <si>
    <t xml:space="preserve">https://www.instagram.com/brewgarten/</t>
  </si>
  <si>
    <t xml:space="preserve">Indian origins/estates: Monsooned Malabar; Brew: Cold brew; Prices: Must-tries: Cafe Mocha ₹310, Caramel Macchiato ₹240, Monsoon Malabar ₹550 | Must-tries: Espresso Doppio ₹190, Americano ₹170, Café Mocha ₹230 | Must-tries: Espresso Bombon ₹150, Nutty Cold Coffee ₹230, Americano ₹120; Signals: Now open</t>
  </si>
  <si>
    <t xml:space="preserve">2 of 3 read: https://knocksense.com/ahmedabad/international-coffee-day-8-must-visit-coffee-places-in-ahmedabad-for-the-perfect-brew https://yappe.in/gujarat/ahmedabad/brewgarten/293459</t>
  </si>
  <si>
    <t xml:space="preserve">C092</t>
  </si>
  <si>
    <t xml:space="preserve">Mleko</t>
  </si>
  <si>
    <t xml:space="preserve">Commerce Six Roads (8 am–midnight) + Bodakdev (inside Shozo Bakers); the Adalaj outlet with MOULD Art Space may be closed</t>
  </si>
  <si>
    <t xml:space="preserve">Specialty coffee on a La Marzocco Linea Mini; beans from Kokoro Coffee and Kalledevarapura Estate; bakes (cinnamon rolls, croissants, tarts).</t>
  </si>
  <si>
    <t xml:space="preserve">Kokoro Coffee + Kalledevarapura Estate (Karnataka)</t>
  </si>
  <si>
    <t xml:space="preserve">Two Karnataka sources; no rotating guest lot named.</t>
  </si>
  <si>
    <t xml:space="preserve">A rotating guest single estate from another region (Northeast, Araku) for espresso or filter.</t>
  </si>
  <si>
    <t xml:space="preserve">Already buys from two sources: pitch a guest-lot slot across the outlets.</t>
  </si>
  <si>
    <t xml:space="preserve">Espresso drinks, cold brews, bagels. Wave 4b: Knocksense — 'sources specialty beans from Kokoro Coffee and Kalledevarapura Estate'.</t>
  </si>
  <si>
    <t xml:space="preserve">Multi-outlet blend supply.</t>
  </si>
  <si>
    <t xml:space="preserve">https://knocksense.com/ahmedabad/coffee-chronicles-mleko-cafes-enchanting-presence-in-ahmedabad-is-winning-over-hearts</t>
  </si>
  <si>
    <t xml:space="preserve">Roasters named in articles about it: Kokoro Coffee; Indian origins/estates: Karnataka, Kalledevarapura Estate; Imported origins: Vietnam; Brew: V60, Pour over, Cold brew, Cortado; ₹900 for two</t>
  </si>
  <si>
    <t xml:space="preserve">+91 90165 12904</t>
  </si>
  <si>
    <t xml:space="preserve">3 of 4 read: https://www.district.in/dining/ahmedabad/mould-art-space-x-mleko-adalaj https://knocksense.com/ahmedabad/coffee-chronicles-mleko-cafes-enchanting-presence-in-ahmedabad-is-winning-over-hearts https://wanderlog.com/place/details/12011532/mleko</t>
  </si>
  <si>
    <t xml:space="preserve">C093</t>
  </si>
  <si>
    <t xml:space="preserve">OCD Culture</t>
  </si>
  <si>
    <t xml:space="preserve">One World Capital, Rajpath Rangoli Rd, Bodakdev</t>
  </si>
  <si>
    <t xml:space="preserve">Specialty slow bar: V60 pour-over, AeroPress; rated the city's best actual-quality coffee by a 2026 blog.</t>
  </si>
  <si>
    <t xml:space="preserve">~₹550 for two</t>
  </si>
  <si>
    <t xml:space="preserve">Specialty / third-wave coffee shop in the Bodakdev cluster.</t>
  </si>
  <si>
    <t xml:space="preserve">https://www.district.in/blog/everyday-cafes-ahmedabad</t>
  </si>
  <si>
    <t xml:space="preserve">Possibly 'Obsessive Coffee Disorder' @ocdcafes — confirm</t>
  </si>
  <si>
    <t xml:space="preserve">Roasters named in articles about it: Roastery Cultur; Processes / format: Single origin; Brew: V60, Pour over, AeroPress; Commodity brands: Starbucks; Prices: Third Wave Coffee Prahlad Nagar Fast Low–Moderate Couches + tables Yes ₹200+ 7:30 AM–12 AM | The Dark Roast Prahlad Nagar Fast Moderate Tables Yes ₹120+ 10:30 AM–10:30 PM | Barista Coffee Thaltej Fast Moderate Tables Yes ₹150+ 9 AM–10 PM</t>
  </si>
  <si>
    <t xml:space="preserve">2 of 4 read: https://ashaval.com/?p=3431 https://echai.ventures/ahmedabad/cafes/sg-highway-west</t>
  </si>
  <si>
    <t xml:space="preserve">C097</t>
  </si>
  <si>
    <t xml:space="preserve">Niro by Nini's</t>
  </si>
  <si>
    <t xml:space="preserve">Gulbai Tekra + Thaltej (Sindhu Bhavan)</t>
  </si>
  <si>
    <t xml:space="preserve">Cafe/European food — pasta, rice bowls; coffee not a focus.</t>
  </si>
  <si>
    <t xml:space="preserve">All-day cafe with single-origin coffee on menu.</t>
  </si>
  <si>
    <t xml:space="preserve">Single estate add-on.</t>
  </si>
  <si>
    <t xml:space="preserve">₹ 1000 for two</t>
  </si>
  <si>
    <t xml:space="preserve">1 of 3 read: https://www.eazydiner.com/ahmedabad/niro-by-ninis-thaltej-west-ahmedabad-715432</t>
  </si>
  <si>
    <t xml:space="preserve">C098</t>
  </si>
  <si>
    <t xml:space="preserve">Caffotto</t>
  </si>
  <si>
    <t xml:space="preserve">Rajkot</t>
  </si>
  <si>
    <t xml:space="preserve">Newer coffee cafe, 11am–11:30pm, ~5.3k followers (Instagram).</t>
  </si>
  <si>
    <t xml:space="preserve">@caffotto.rajkot</t>
  </si>
  <si>
    <t xml:space="preserve">https://www.instagram.com/caffotto.rajkot/</t>
  </si>
  <si>
    <t xml:space="preserve">C099</t>
  </si>
  <si>
    <t xml:space="preserve">Dough &amp; Doppio</t>
  </si>
  <si>
    <t xml:space="preserve">Madhur Nagar</t>
  </si>
  <si>
    <t xml:space="preserve">Professional baristas; espresso classics and coffee cocktails.</t>
  </si>
  <si>
    <t xml:space="preserve">https://kupi.com/en/explore/india/rajkot/dough-and-doppio</t>
  </si>
  <si>
    <t xml:space="preserve">C100</t>
  </si>
  <si>
    <t xml:space="preserve">JD's Cafe</t>
  </si>
  <si>
    <t xml:space="preserve">Fresh brews (Instagram).</t>
  </si>
  <si>
    <t xml:space="preserve">@jdscafe_</t>
  </si>
  <si>
    <t xml:space="preserve">https://www.instagram.com/jdscafe_/</t>
  </si>
  <si>
    <t xml:space="preserve">C102</t>
  </si>
  <si>
    <t xml:space="preserve">BB Specialty Coffee &amp; Brunch</t>
  </si>
  <si>
    <t xml:space="preserve">Surat</t>
  </si>
  <si>
    <t xml:space="preserve">Competition-grade single estates for its drip programme.</t>
  </si>
  <si>
    <t xml:space="preserve">Instagram lists drip coffee and 2025 brewing-competition awards.</t>
  </si>
  <si>
    <t xml:space="preserve">@bbcafe.surat</t>
  </si>
  <si>
    <t xml:space="preserve">https://www.instagram.com/bbcafe.surat/</t>
  </si>
  <si>
    <t xml:space="preserve">C103</t>
  </si>
  <si>
    <t xml:space="preserve">Meraki The Coffee House</t>
  </si>
  <si>
    <t xml:space="preserve">Vesu + City Light (Surat)</t>
  </si>
  <si>
    <t xml:space="preserve">Pour-over evangelist: single origins from around the world, with Kelagur Estate a favourite; Vietnamese cold brew.</t>
  </si>
  <si>
    <t xml:space="preserve">Not published (uses Kelagur Estate lots)</t>
  </si>
  <si>
    <t xml:space="preserve">Mixes imported and Indian lots — room for more Indian estates.</t>
  </si>
  <si>
    <t xml:space="preserve">Other Indian estates and processes to rotate beside Kelagur.</t>
  </si>
  <si>
    <t xml:space="preserve">Owner-led: invite him to a cupping of 3 Indian naturals/honeys; offer pour-over training sessions in Surat.</t>
  </si>
  <si>
    <t xml:space="preserve">Pour-over and Chemex; 'premium specialty coffee' (Surat guides). Instagram: 'Surat's specialty coffee house since 2016'.</t>
  </si>
  <si>
    <t xml:space="preserve">Surat's top specialty indie, 2 outlets.</t>
  </si>
  <si>
    <t xml:space="preserve">@merakitch</t>
  </si>
  <si>
    <t xml:space="preserve">https://www.instagram.com/merakitch/</t>
  </si>
  <si>
    <t xml:space="preserve">Brijesh Bachkaniwala (owner)</t>
  </si>
  <si>
    <t xml:space="preserve">https://perfectdailygrind.com/2019/03/a-specialty-coffee-shop-tour-of-gujarat-rajasthan/</t>
  </si>
  <si>
    <t xml:space="preserve">Roasters named in articles about it: Curious Life Coffee Roasters; Processes / format: Single origin; Brew: Pour over, Chemex, Cold brew, Cortado</t>
  </si>
  <si>
    <t xml:space="preserve">4 of 5 read: https://perfectdailygrind.com/2019/03/a-specialty-coffee-shop-tour-of-gujarat-rajasthan/ https://perfectdailygrind.com/?p=67733 https://www.restaurantindia.in/article/how-this-surat-based-caf-is-trying-to-redefine-indian-coffee.10587 https://wanderlog.com/place/details/3385372/meraki-the-coffee-house</t>
  </si>
  <si>
    <t xml:space="preserve">C104</t>
  </si>
  <si>
    <t xml:space="preserve">40 Feet Coffee</t>
  </si>
  <si>
    <t xml:space="preserve">Specialty coffee &amp; eatery run from a 40-ft container, pet friendly.</t>
  </si>
  <si>
    <t xml:space="preserve">@40feet_coffee</t>
  </si>
  <si>
    <t xml:space="preserve">https://www.instagram.com/40feet_coffee/</t>
  </si>
  <si>
    <t xml:space="preserve">C105</t>
  </si>
  <si>
    <t xml:space="preserve">Blue Can Coffee</t>
  </si>
  <si>
    <t xml:space="preserve">G-88 Silver Business Point, VIP Circle, Utran</t>
  </si>
  <si>
    <t xml:space="preserve">Focus on freshly roasted beans in a quiet setting.</t>
  </si>
  <si>
    <t xml:space="preserve">Fresh-roast story fits.</t>
  </si>
  <si>
    <t xml:space="preserve">https://travelroach.com/ultimate-guide-best-cafes-surat/</t>
  </si>
  <si>
    <t xml:space="preserve">C106</t>
  </si>
  <si>
    <t xml:space="preserve">Enso Coffee</t>
  </si>
  <si>
    <t xml:space="preserve">Pulled specialty listing.</t>
  </si>
  <si>
    <t xml:space="preserve">https://www.pulled.coffee/shop/enso-coffee-surat</t>
  </si>
  <si>
    <t xml:space="preserve">Single generic listing.</t>
  </si>
  <si>
    <t xml:space="preserve">C107</t>
  </si>
  <si>
    <t xml:space="preserve">Livestream Coffee</t>
  </si>
  <si>
    <t xml:space="preserve">Vesu</t>
  </si>
  <si>
    <t xml:space="preserve">https://www.pulled.coffee/shop/livestream-coffee-vesu-surat</t>
  </si>
  <si>
    <t xml:space="preserve">C108</t>
  </si>
  <si>
    <t xml:space="preserve">Lower Ground Coffee</t>
  </si>
  <si>
    <t xml:space="preserve">https://www.pulled.coffee/shop/lower-ground-coffee-surat-2</t>
  </si>
  <si>
    <t xml:space="preserve">C109</t>
  </si>
  <si>
    <t xml:space="preserve">Moonstruck Coffee</t>
  </si>
  <si>
    <t xml:space="preserve">https://www.pulled.coffee/shop/moonstruck-coffee-surat-2</t>
  </si>
  <si>
    <t xml:space="preserve">C110</t>
  </si>
  <si>
    <t xml:space="preserve">Nothing Before Coffee — SNS Arista</t>
  </si>
  <si>
    <t xml:space="preserve">Pulled classifies it as specialty; NBC is a multi-city brand (also Bhopal).</t>
  </si>
  <si>
    <t xml:space="preserve">https://www.pulled.coffee/shop/nothing-before-coffee-sns-arista-vesu-surat-surat-2</t>
  </si>
  <si>
    <t xml:space="preserve">Check whether this is the budget NBC chain (Regular tier).</t>
  </si>
  <si>
    <t xml:space="preserve">C111</t>
  </si>
  <si>
    <t xml:space="preserve">The Flat White Coffee House</t>
  </si>
  <si>
    <t xml:space="preserve">Piplod (2,500 sq ft bungalow)</t>
  </si>
  <si>
    <t xml:space="preserve">Minimalist coffee house in a converted bungalow (Elle Decor).</t>
  </si>
  <si>
    <t xml:space="preserve">https://echai.ventures/grid/surat/the-flat-white-coffee-house</t>
  </si>
  <si>
    <t xml:space="preserve">C112</t>
  </si>
  <si>
    <t xml:space="preserve">XPC Coffee Experience Center</t>
  </si>
  <si>
    <t xml:space="preserve">Dumas Rd</t>
  </si>
  <si>
    <t xml:space="preserve">Listed among Surat's specialty spots (eChai).</t>
  </si>
  <si>
    <t xml:space="preserve">https://echai.ventures/surat/cafes/across-surat</t>
  </si>
  <si>
    <t xml:space="preserve">Single listing.</t>
  </si>
  <si>
    <t xml:space="preserve">Brew: Flat white; Commodity brands: illy</t>
  </si>
  <si>
    <t xml:space="preserve">1 of 1 read: https://echai.ventures/surat/cafes/across-surat</t>
  </si>
  <si>
    <t xml:space="preserve">C113</t>
  </si>
  <si>
    <t xml:space="preserve">801</t>
  </si>
  <si>
    <t xml:space="preserve">3rd fl, Laxmi Enclave 2, Katargam</t>
  </si>
  <si>
    <t xml:space="preserve">4.7 (142)</t>
  </si>
  <si>
    <t xml:space="preserve">Pour-over and manual brew listed.</t>
  </si>
  <si>
    <t xml:space="preserve">Brew-bar single estates.</t>
  </si>
  <si>
    <t xml:space="preserve">@801coffee</t>
  </si>
  <si>
    <t xml:space="preserve">https://www.instagram.com/801coffee/</t>
  </si>
  <si>
    <t xml:space="preserve">+91 81538 01801 (Yappe)</t>
  </si>
  <si>
    <t xml:space="preserve">Imported origins: Mexico; Brew: Cortado, Chemex, Cold brew</t>
  </si>
  <si>
    <t xml:space="preserve">2 of 2 read: https://yappe.in/gujarat/surat/801-specialty-coffee-more/401138 https://echai.ventures/surat/cafes/across-surat</t>
  </si>
  <si>
    <t xml:space="preserve">C114</t>
  </si>
  <si>
    <t xml:space="preserve">Cafe Pulp</t>
  </si>
  <si>
    <t xml:space="preserve">Dumas Rd, New Magdalla</t>
  </si>
  <si>
    <t xml:space="preserve">₹500–800 for two; 4.7</t>
  </si>
  <si>
    <t xml:space="preserve">Specialty coffee + ceremonial matcha + all-day eatery (Instagram).</t>
  </si>
  <si>
    <t xml:space="preserve">@cafepulp__</t>
  </si>
  <si>
    <t xml:space="preserve">https://www.instagram.com/cafepulp__/</t>
  </si>
  <si>
    <t xml:space="preserve">₹ 800 for two</t>
  </si>
  <si>
    <t xml:space="preserve">2 of 2 read: https://www.eazydiner.com/surat/cafe-pulp-dumas-surat-704820 https://www.eazydiner.com/surat/cafe-pulp-dumas-surat-704820/reviews</t>
  </si>
  <si>
    <t xml:space="preserve">C115</t>
  </si>
  <si>
    <t xml:space="preserve">Odd Three Coffee Club</t>
  </si>
  <si>
    <t xml:space="preserve">Manual brewing and pour-over.</t>
  </si>
  <si>
    <t xml:space="preserve">Instagram not indexed by search yet — look up by name on Instagram Wave 4: not found in a web search beyond its source roundup — confirm it is open (Instagram / Google Maps) before outreach.</t>
  </si>
  <si>
    <t xml:space="preserve">C116</t>
  </si>
  <si>
    <t xml:space="preserve">Brewito Coffee</t>
  </si>
  <si>
    <t xml:space="preserve">Vadodara</t>
  </si>
  <si>
    <t xml:space="preserve">Cafe Brewito — GF-1 Earth EON, Sama-Savli Rd, Karelibagh</t>
  </si>
  <si>
    <t xml:space="preserve">Instagram: 'Best Cafe in Vadodara' tourism award.</t>
  </si>
  <si>
    <t xml:space="preserve">@brewito.coffee</t>
  </si>
  <si>
    <t xml:space="preserve">https://www.instagram.com/brewito.coffee/</t>
  </si>
  <si>
    <t xml:space="preserve">1 of 2 read: https://wanderlog.com/place/details/7542169</t>
  </si>
  <si>
    <t xml:space="preserve">C117</t>
  </si>
  <si>
    <t xml:space="preserve">Curators Coffee</t>
  </si>
  <si>
    <t xml:space="preserve">101 Corrum Complex, Jetalpur Rd + Neptune Trion, Genda Circle</t>
  </si>
  <si>
    <t xml:space="preserve">Known for brewing knowledge and coffee pairing / brewing workshops; ~₹600 for two.</t>
  </si>
  <si>
    <t xml:space="preserve">Coffee/dessert cafe, freshly brewed coffee (magicpin).</t>
  </si>
  <si>
    <t xml:space="preserve">Best indie lead in Vadodara.</t>
  </si>
  <si>
    <t xml:space="preserve">+91 98243 33393 (Yappe)</t>
  </si>
  <si>
    <t xml:space="preserve">https://www.zomato.com/vadodara/curators-coffee-alkapuri</t>
  </si>
  <si>
    <t xml:space="preserve">https://magicpin.in/Vadodara/Alkapuri/Restaurant/Curators-Coffee/store/636b96</t>
  </si>
  <si>
    <t xml:space="preserve">Brew: Flat white; ₹600 for two; Signals: Retail beans</t>
  </si>
  <si>
    <t xml:space="preserve">4 of 6 read: https://magicpin.in/Vadodara/Alkapuri/Restaurant/Curators-Coffee/store/636b96 https://www.district.in/dining/vadodara/curators-coffee-alkapuri https://yappe.in/gujarat/vadodara/curators-coffee/194148 https://www.slurrp.com/article/the-cafe-craze-in-gujarat-five-unmissable-cafes-in-baroda-1751371601941</t>
  </si>
  <si>
    <t xml:space="preserve">C118</t>
  </si>
  <si>
    <t xml:space="preserve">Caffein Cafe</t>
  </si>
  <si>
    <t xml:space="preserve">Gokul Society, Vasna</t>
  </si>
  <si>
    <t xml:space="preserve">~₹600 for two; 4.1 (1,397)</t>
  </si>
  <si>
    <t xml:space="preserve">Menu from classic filter coffee to pour-over.</t>
  </si>
  <si>
    <t xml:space="preserve">https://caffein.co.in</t>
  </si>
  <si>
    <t xml:space="preserve">+91 74053 69369 (Yappe)</t>
  </si>
  <si>
    <t xml:space="preserve">https://www.kuberproperty.in/blog/top-10-cafes-in-vadodara-2026</t>
  </si>
  <si>
    <t xml:space="preserve">Brew: French press, Pour over, South Indian filter</t>
  </si>
  <si>
    <t xml:space="preserve">3 of 6 read: https://caffein.co.in https://www.kuberproperty.in/blog/top-10-cafes-in-vadodara-2026 https://yappe.in/gujarat/vadodara/caffein-cafe/194128</t>
  </si>
  <si>
    <t xml:space="preserve">C119</t>
  </si>
  <si>
    <t xml:space="preserve">Coffee Yard</t>
  </si>
  <si>
    <t xml:space="preserve">23 Guruprasad Soc, Akota Stadium Rd (+ Vadiwadi)</t>
  </si>
  <si>
    <t xml:space="preserve">Blue Tokai (house dark-roast blend made for them)</t>
  </si>
  <si>
    <t xml:space="preserve">Blue Tokai account: offer a lighter single estate for filter to complement their dark house blend.</t>
  </si>
  <si>
    <t xml:space="preserve">Instagram: premium specialty coffee, 2 locations.</t>
  </si>
  <si>
    <t xml:space="preserve">@_coffeeyard_</t>
  </si>
  <si>
    <t xml:space="preserve">https://www.instagram.com/_coffeeyard_/</t>
  </si>
  <si>
    <t xml:space="preserve">Brew: Cold brew; Prices: The cost of two at Coffee Yard is ₹ 600.; ₹ 600 for two</t>
  </si>
  <si>
    <t xml:space="preserve">3 of 3 read: https://www.eazydiner.com/vadodara/coffee-yard-akota-vadodara-690239 https://wanderlog.com/place/details/4367333/coffee-yard https://yappe.in/gujarat/vadodara/coffee-yard/277115</t>
  </si>
  <si>
    <t xml:space="preserve">C120</t>
  </si>
  <si>
    <t xml:space="preserve">Cleo's Coffee &amp; More</t>
  </si>
  <si>
    <t xml:space="preserve">Manjalpur</t>
  </si>
  <si>
    <t xml:space="preserve">Garden cafe; pizza and fast food; coffee not detailed.</t>
  </si>
  <si>
    <t xml:space="preserve">₹1,000–1,500 for two; 4.3 (~300)</t>
  </si>
  <si>
    <t xml:space="preserve">Coffee cafe, 11am–11pm (Instagram).</t>
  </si>
  <si>
    <t xml:space="preserve">@cleos_cafe_</t>
  </si>
  <si>
    <t xml:space="preserve">https://www.instagram.com/cleos_cafe_/</t>
  </si>
  <si>
    <t xml:space="preserve">Prices: Coffee &amp; More? The cost of two at Cleo's Coffee &amp; More is ₹ 1500. You can save EXTRA; ₹ 1500 for two</t>
  </si>
  <si>
    <t xml:space="preserve">1 of 1 read: https://www.eazydiner.com/vadodara/cleos-coffee-more-manjalpur-vadodara-703401</t>
  </si>
  <si>
    <t xml:space="preserve">C121</t>
  </si>
  <si>
    <t xml:space="preserve">Babka Goa</t>
  </si>
  <si>
    <t xml:space="preserve">Anjuna</t>
  </si>
  <si>
    <t xml:space="preserve">Multi-roaster: Half-Light, G-Shot and Kokoro beans as pour-over, AeroPress and espresso; cortado, frappes.</t>
  </si>
  <si>
    <t xml:space="preserve">Half-Light (Jaipur), G-Shot (Goa) and Kokoro Coffee</t>
  </si>
  <si>
    <t xml:space="preserve">~₹850 for two</t>
  </si>
  <si>
    <t xml:space="preserve">Second roaster / switch pitch.</t>
  </si>
  <si>
    <t xml:space="preserve">Multi-roaster: pitch a guest slot beside Half-Light/G-Shot/Kokoro.</t>
  </si>
  <si>
    <t xml:space="preserve">Bakery &amp; patisserie serving coffee from an outside roaster (Instagram). Wave 4: LBB/Sprudge name three roasters (Half-Light, G-Shot, Kokoro).</t>
  </si>
  <si>
    <t xml:space="preserve">Already buys from a roaster — easy switch/second-roaster pitch.</t>
  </si>
  <si>
    <t xml:space="preserve">@babka.goa</t>
  </si>
  <si>
    <t xml:space="preserve">https://www.instagram.com/babka.goa/</t>
  </si>
  <si>
    <t xml:space="preserve">Anant Singh &amp; Karishma Pursnani (owners)</t>
  </si>
  <si>
    <t xml:space="preserve">Brew: Decaf</t>
  </si>
  <si>
    <t xml:space="preserve">1 of 3 read: https://wanderlog.com/place/details/791542/babka-goa-coffee-bar--bakery--patisserie-anjuna</t>
  </si>
  <si>
    <t xml:space="preserve">C122</t>
  </si>
  <si>
    <t xml:space="preserve">Grind Bar</t>
  </si>
  <si>
    <t xml:space="preserve">Casa Esmeralda, Anjuna-Mapusa Rd (closed Sun)</t>
  </si>
  <si>
    <t xml:space="preserve">Since 2021; La Marzocco; double-shot single-origin espresso; cashew milk; listening room, DJ school and barista training centre.</t>
  </si>
  <si>
    <t xml:space="preserve">Since 2021; espresso on La Marzocco.</t>
  </si>
  <si>
    <t xml:space="preserve">https://grindbar.in</t>
  </si>
  <si>
    <t xml:space="preserve">https://www.stayvista.com/blog/best-cafes-in-anjuna-goa-2026-offbeat-and-work-friendly-spots/</t>
  </si>
  <si>
    <t xml:space="preserve">Roasters named in articles about it: G-Shot Coffee Roastery &amp; Cafe; Indian origins/estates: Chikmagalur; Processes / format: Single origin; Varietals: Robusta; Brew: Pour over, Affogato, Cold brew, Flat white</t>
  </si>
  <si>
    <t xml:space="preserve">4 of 6 read: https://homegrown.co.in/homegrown-explore/grind-bar-goa-provides-an-experiential-cafe-experience https://homegrown.co.in/homegrown-explore/listening-sessions-coffee-cocktails-how-goan-coffee-bars-are-blazing-a-trail https://urbanaut.app/spot/grind-bar https://curlytales.com/best-coffee-shops-in-goa-for-artisanal-brews-gourmet-bites-and-more</t>
  </si>
  <si>
    <t xml:space="preserve">C123</t>
  </si>
  <si>
    <t xml:space="preserve">Whole Bean Co</t>
  </si>
  <si>
    <t xml:space="preserve">Cold brews and pour-overs; vegan-leaning breakfast; Yappe 4.8 (12).</t>
  </si>
  <si>
    <t xml:space="preserve">'A specialty coffee shop that actually takes coffee seriously'.</t>
  </si>
  <si>
    <t xml:space="preserve">1 of 2 read: https://yappe.in/goa/anjuna/whole-bean/1961252</t>
  </si>
  <si>
    <t xml:space="preserve">C125</t>
  </si>
  <si>
    <t xml:space="preserve">Coffee Culture at The Unseen (hotel)</t>
  </si>
  <si>
    <t xml:space="preserve">Yes — coffee shop and roastery inside the hotel</t>
  </si>
  <si>
    <t xml:space="preserve">Coffee omakase at the cafe; artisanal roastery + bakehouse; 'Uncultured' coffee-and-spirits speakeasy; 24-hour slow-drip cold brew; 11 rooms.</t>
  </si>
  <si>
    <t xml:space="preserve">Guest micro-lot for the omakase only.</t>
  </si>
  <si>
    <t xml:space="preserve">Coffee Culture (34 outlets, 22 cities) roasts its own — a green / guest-lot pitch only.</t>
  </si>
  <si>
    <t xml:space="preserve">Barista-led coffee omakase, 24-hr slow-drip cold brew, espresso/V60/latte flight.</t>
  </si>
  <si>
    <t xml:space="preserve">Omakase format burns through rare lots — pitch micro-lots.</t>
  </si>
  <si>
    <t xml:space="preserve">Gaurav Narang (Coffee Culture founder, 2004)</t>
  </si>
  <si>
    <t xml:space="preserve">https://www.restaurantindia.in/news/restaurant-india-news-coffee-culture-enters-hospitality-with-unseen-world-s-first-coffee-focused.n14245</t>
  </si>
  <si>
    <t xml:space="preserve">0 of 5 read: </t>
  </si>
  <si>
    <t xml:space="preserve">C126</t>
  </si>
  <si>
    <t xml:space="preserve">Coffee Stop</t>
  </si>
  <si>
    <t xml:space="preserve">Benaulim</t>
  </si>
  <si>
    <t xml:space="preserve">Simon Bldg, near Royal Palms, Benaulim</t>
  </si>
  <si>
    <t xml:space="preserve">Tripadvisor 4.9</t>
  </si>
  <si>
    <t xml:space="preserve">Tripadvisor 4.9 (91 reviews).</t>
  </si>
  <si>
    <t xml:space="preserve">+91 84080 51795 (Trip.com)</t>
  </si>
  <si>
    <t xml:space="preserve">https://www.tripadvisor.in/Restaurants-g12412672-c8-South_Goa_District_Goa.html</t>
  </si>
  <si>
    <t xml:space="preserve">1 of 2 read: https://au.trip.com/travel-guide/benaulim-15438-restaurant/Coffee%20Stop-19966530</t>
  </si>
  <si>
    <t xml:space="preserve">C128</t>
  </si>
  <si>
    <t xml:space="preserve">Dodaa Atelier</t>
  </si>
  <si>
    <t xml:space="preserve">Ruby's Coffee Goa beans.</t>
  </si>
  <si>
    <t xml:space="preserve">Ruby's Coffee Goa</t>
  </si>
  <si>
    <t xml:space="preserve">Second roaster / single-estate guest.</t>
  </si>
  <si>
    <t xml:space="preserve">Listed as a stockist of Ruby's Coffee Goa.</t>
  </si>
  <si>
    <t xml:space="preserve">https://www.instagram.com/rubyscoffee_goa/</t>
  </si>
  <si>
    <t xml:space="preserve">C129</t>
  </si>
  <si>
    <t xml:space="preserve">The Little Place (Novotel Goa Candolim)</t>
  </si>
  <si>
    <t xml:space="preserve">The Coffee Co</t>
  </si>
  <si>
    <t xml:space="preserve">Hotel cafe open till 2 am; coffee partner The Coffee Co; espresso, mocha, South Indian filter.</t>
  </si>
  <si>
    <t xml:space="preserve">https://www.restaurantindia.in/news/novotel-goa-candolim-unveils-the-little-place-cafe.n12067</t>
  </si>
  <si>
    <t xml:space="preserve">Roasters named in articles about it: The Coffee Co; Brew: South Indian filter</t>
  </si>
  <si>
    <t xml:space="preserve">1 of 1 read: https://www.restaurantindia.in/news/novotel-goa-candolim-unveils-the-little-place-cafe.n12067</t>
  </si>
  <si>
    <t xml:space="preserve">C130</t>
  </si>
  <si>
    <t xml:space="preserve">Souza Coffee</t>
  </si>
  <si>
    <t xml:space="preserve">Colva</t>
  </si>
  <si>
    <t xml:space="preserve">Colva–Benaulim Road</t>
  </si>
  <si>
    <t xml:space="preserve">Tripadvisor reviewer: 'best real coffee in Goa'.</t>
  </si>
  <si>
    <t xml:space="preserve">https://www.zomato.com/goa/souza-coffee-colva</t>
  </si>
  <si>
    <t xml:space="preserve">https://www.tripadvisor.in/Restaurants-g12412672-zfg9900-South_Goa_District_Goa.html</t>
  </si>
  <si>
    <t xml:space="preserve">C131</t>
  </si>
  <si>
    <t xml:space="preserve">Mon Petit Frère</t>
  </si>
  <si>
    <t xml:space="preserve">H No 10/1, 1st Ward, near Colva Church</t>
  </si>
  <si>
    <t xml:space="preserve">Four-table bakery cafe (12 covers): sourdough, Basque cheesecake, breakfast; coffee 'strong and perfect'; closed Mondays.</t>
  </si>
  <si>
    <t xml:space="preserve">Small bakery-cafe; breads and sourdough made in-house.</t>
  </si>
  <si>
    <t xml:space="preserve">https://www.flamingotravels.co.in/blog/2026/10/cafes-to-visit-in-goa</t>
  </si>
  <si>
    <t xml:space="preserve">Imported origins: Vietnam; Brew: Cold brew; ₹700 for two</t>
  </si>
  <si>
    <t xml:space="preserve">+91 86982 06528</t>
  </si>
  <si>
    <t xml:space="preserve">4 of 4 read: https://www.district.in/dining/goa/mon-petit-frère-café-colva https://www.flamingotravels.co.in/blog/2026/10/cafes-to-visit-in-goa https://makeithappen.co.in/restaurant/mon-petit-frere/ https://thenodmag.com/content/south-goa-monsoon-travel-food-hotel-stay-bars-restaurant-guide</t>
  </si>
  <si>
    <t xml:space="preserve">C133</t>
  </si>
  <si>
    <t xml:space="preserve">Larder &amp; Folk</t>
  </si>
  <si>
    <t xml:space="preserve">São Tomé, Panjim</t>
  </si>
  <si>
    <t xml:space="preserve">Corridor Seven coffee (~60 kg/month per Herald Goa) with serious bakes.</t>
  </si>
  <si>
    <t xml:space="preserve">Corridor Seven Coffee Roasters (~60 kg a month)</t>
  </si>
  <si>
    <t xml:space="preserve">Volume account (~60 kg/month): pitch a guest estate and a price-matched second espresso.</t>
  </si>
  <si>
    <t xml:space="preserve">Known for baking and specialty coffee. Instagram ~15k: artisanal bread, neighbourhood eatery, Tue–Sun 9am–7pm. Wave 4: Herald Goa reports ~60 kg/month of Corridor Seven.</t>
  </si>
  <si>
    <t xml:space="preserve">Bakery + specialty — estate espresso.</t>
  </si>
  <si>
    <t xml:space="preserve">@larderandfolkgoa</t>
  </si>
  <si>
    <t xml:space="preserve">https://www.instagram.com/larderandfolkgoa/</t>
  </si>
  <si>
    <t xml:space="preserve">+91 93598 15109 (Instagram bio)</t>
  </si>
  <si>
    <t xml:space="preserve">2 of 5 read: https://www.esquireindia.co.in/food-and-drinks/what-to-eat/top-7-cafes-in-goa-you-need-to-try-from-mandrem-beach-views-to-panajis-artisanal-coffee-spots https://wanderlog.com/place/details/6441437/larder-and-folk</t>
  </si>
  <si>
    <t xml:space="preserve">C135</t>
  </si>
  <si>
    <t xml:space="preserve">Asro Cafe &amp; Food Lab</t>
  </si>
  <si>
    <t xml:space="preserve">Porvorim</t>
  </si>
  <si>
    <t xml:space="preserve">Vietnamese coffee praised; EazyDiner 4.7.</t>
  </si>
  <si>
    <t xml:space="preserve">https://www.eazydiner.com/goa/asro-cafe-food-lab-porvorim-north-goa-694932/reviews</t>
  </si>
  <si>
    <t xml:space="preserve">Imported origins: Vietnam; ₹ 450 for two</t>
  </si>
  <si>
    <t xml:space="preserve">1 of 1 read: https://www.eazydiner.com/goa/asro-cafe-food-lab-porvorim-north-goa-694932/reviews</t>
  </si>
  <si>
    <t xml:space="preserve">C136</t>
  </si>
  <si>
    <t xml:space="preserve">Bastardo</t>
  </si>
  <si>
    <t xml:space="preserve">Listed as a stockist of Ruby's Coffee Goa (organic small-farmer coffee).</t>
  </si>
  <si>
    <t xml:space="preserve">C137</t>
  </si>
  <si>
    <t xml:space="preserve">Cafe Robusta</t>
  </si>
  <si>
    <t xml:space="preserve">Aradi Socorro</t>
  </si>
  <si>
    <t xml:space="preserve">Freshly brewed coffee (Gomantak Times pick).</t>
  </si>
  <si>
    <t xml:space="preserve">https://www.eazydiner.com/goa/cafe-robusta-porvorim-porvorim-north-goa-691965</t>
  </si>
  <si>
    <t xml:space="preserve">Varietals: Robusta; ₹ 500 for two</t>
  </si>
  <si>
    <t xml:space="preserve">1 of 1 read: https://www.eazydiner.com/goa/cafe-robusta-porvorim-porvorim-north-goa-691965</t>
  </si>
  <si>
    <t xml:space="preserve">C138</t>
  </si>
  <si>
    <t xml:space="preserve">Joey's</t>
  </si>
  <si>
    <t xml:space="preserve">Porvorim Highway</t>
  </si>
  <si>
    <t xml:space="preserve">Coffee, sandwiches, burgers; EazyDiner ~4.7.</t>
  </si>
  <si>
    <t xml:space="preserve">https://www.eazydiner.com/goa/joeys-porvorim-north-goa-696527</t>
  </si>
  <si>
    <t xml:space="preserve">Varietals: Robusta; ₹ 800 for two</t>
  </si>
  <si>
    <t xml:space="preserve">1 of 1 read: https://www.eazydiner.com/goa/joeys-porvorim-north-goa-696527</t>
  </si>
  <si>
    <t xml:space="preserve">C139</t>
  </si>
  <si>
    <t xml:space="preserve">Cafe Lento — Goa</t>
  </si>
  <si>
    <t xml:space="preserve">Saligao</t>
  </si>
  <si>
    <t xml:space="preserve">Salawara Estate beans.</t>
  </si>
  <si>
    <t xml:space="preserve">Beans from Salawara Estate (360-acre plantation since 1880).</t>
  </si>
  <si>
    <t xml:space="preserve">Estate-led; propose a second estate.</t>
  </si>
  <si>
    <t xml:space="preserve">Dishant Pritamani (co-founder)</t>
  </si>
  <si>
    <t xml:space="preserve">C140</t>
  </si>
  <si>
    <t xml:space="preserve">alag.</t>
  </si>
  <si>
    <t xml:space="preserve">Siolim</t>
  </si>
  <si>
    <t xml:space="preserve">Women-led; Northeast Indian beans (Nagaland, Assam); Saigon coconut coffee, dirty matcha; closed Wed.</t>
  </si>
  <si>
    <t xml:space="preserve">Not published (beans from small farms in Nagaland and Assam)</t>
  </si>
  <si>
    <t xml:space="preserve">More Northeast lots (Meghalaya, Mizoram, Arunachal) and processed variants.</t>
  </si>
  <si>
    <t xml:space="preserve">House-baked pastries + Indian specialty coffee sourced from the Seven Sisters (Barista Magazine). Instagram: slow-lifestyle coffee • clothes • community; 9am–6:30pm, closed Wed.</t>
  </si>
  <si>
    <t xml:space="preserve">Origin-story driven — pitch your estates' story.</t>
  </si>
  <si>
    <t xml:space="preserve">@alag.together</t>
  </si>
  <si>
    <t xml:space="preserve">https://www.instagram.com/alag.together/</t>
  </si>
  <si>
    <t xml:space="preserve">Uddipan Sarmah (co-founder)</t>
  </si>
  <si>
    <t xml:space="preserve">https://baristamagazine.com/exploring-the-vibrant-specialty-coffee-culture-of-goa-india</t>
  </si>
  <si>
    <t xml:space="preserve">2 of 5 read: https://baristamagazine.com/exploring-the-vibrant-specialty-coffee-culture-of-goa-india https://homegrown.co.in/homegrown-explore/how-a-women-led-cafe-in-siolim-is-building-a-community-around-coffee-slow-living-care</t>
  </si>
  <si>
    <t xml:space="preserve">C141</t>
  </si>
  <si>
    <t xml:space="preserve">Coffee Therapy Artisan</t>
  </si>
  <si>
    <t xml:space="preserve">Madhya Pradesh</t>
  </si>
  <si>
    <t xml:space="preserve">Bhopal</t>
  </si>
  <si>
    <t xml:space="preserve">283-b, E-3 Arera Colony</t>
  </si>
  <si>
    <t xml:space="preserve">Brews from whole beans; frappes; WFH crowd aged 24–28.</t>
  </si>
  <si>
    <t xml:space="preserve">Multiple roasters (unnamed)</t>
  </si>
  <si>
    <t xml:space="preserve">₹200–400 for two</t>
  </si>
  <si>
    <t xml:space="preserve">Monthly guest bag with story card.</t>
  </si>
  <si>
    <t xml:space="preserve">DM @coffeetherapyinc with 1 kg guest-bag offer.</t>
  </si>
  <si>
    <t xml:space="preserve">Specialty coffee shop focused on artisan brews, 4.6. Instagram bio: 'Speciality Multi Roaster Cafe', Arera, Bhopal; pure veg; 9am–11pm.</t>
  </si>
  <si>
    <t xml:space="preserve">Multi-roaster in an under-served city — guest bags every month.</t>
  </si>
  <si>
    <t xml:space="preserve">@coffeetherapyinc</t>
  </si>
  <si>
    <t xml:space="preserve">https://www.instagram.com/coffeetherapyinc/</t>
  </si>
  <si>
    <t xml:space="preserve">+91 79876 98946 (Yappe listing)</t>
  </si>
  <si>
    <t xml:space="preserve">Nikhil Deoskar (chef)</t>
  </si>
  <si>
    <t xml:space="preserve">https://rokazu.com/coffee-shops-in-bhopal-india/</t>
  </si>
  <si>
    <t xml:space="preserve">C142</t>
  </si>
  <si>
    <t xml:space="preserve">Coffeio</t>
  </si>
  <si>
    <t xml:space="preserve">Instagram: 'Specialty Coffee | Gourmet Food', 9:30am–11pm.</t>
  </si>
  <si>
    <t xml:space="preserve">Specialty-labelled — single estate.</t>
  </si>
  <si>
    <t xml:space="preserve">@coffeio.in</t>
  </si>
  <si>
    <t xml:space="preserve">https://www.instagram.com/coffeio.in/</t>
  </si>
  <si>
    <t xml:space="preserve">City inferred from Bhopal search Wave 4: not found in a web search beyond its source roundup — confirm it is open (Instagram / Google Maps) before outreach.</t>
  </si>
  <si>
    <t xml:space="preserve">C143</t>
  </si>
  <si>
    <t xml:space="preserve">Cafe Amado</t>
  </si>
  <si>
    <t xml:space="preserve">Arera Colony</t>
  </si>
  <si>
    <t xml:space="preserve">Brewing methods incl. Kalita Gabi, Hario Switch, Origami, Chemex (2026 listing). Instagram: specialty coffee + brick-oven pizza + viennoiserie, 8am–10:30pm; training arm @amadoacademy.</t>
  </si>
  <si>
    <t xml:space="preserve">Has the gear — needs better beans (a guide says coffee isn't its strongest suit).</t>
  </si>
  <si>
    <t xml:space="preserve">@cafeamado.in</t>
  </si>
  <si>
    <t xml:space="preserve">https://www.instagram.com/cafeamado.in/</t>
  </si>
  <si>
    <t xml:space="preserve">https://bhopaltop10.vercel.app/bhopal/cafes/</t>
  </si>
  <si>
    <t xml:space="preserve">C144</t>
  </si>
  <si>
    <t xml:space="preserve">Coffea</t>
  </si>
  <si>
    <t xml:space="preserve">MIG 163, E-7 Arera Colony</t>
  </si>
  <si>
    <t xml:space="preserve">Coffee and sandwiches; pure veg; ~₹500 for two.</t>
  </si>
  <si>
    <t xml:space="preserve">https://www.eazydiner.com/bhopal/coffea-arera-colony-bhopal-689070</t>
  </si>
  <si>
    <t xml:space="preserve">1 of 1 read: https://www.eazydiner.com/bhopal/coffea-arera-colony-bhopal-689070</t>
  </si>
  <si>
    <t xml:space="preserve">C145</t>
  </si>
  <si>
    <t xml:space="preserve">Latte Love</t>
  </si>
  <si>
    <t xml:space="preserve">@lattelovebhopal</t>
  </si>
  <si>
    <t xml:space="preserve">https://www.instagram.com/lattelovebhopal/</t>
  </si>
  <si>
    <t xml:space="preserve">C146</t>
  </si>
  <si>
    <t xml:space="preserve">The Coffee Shop (TCS) — Bhopal</t>
  </si>
  <si>
    <t xml:space="preserve">'Sharikh The Coffee Shop', Kilol Park Marg, Professors Colony (3 pm–midnight)</t>
  </si>
  <si>
    <t xml:space="preserve">Iced teas, sodas, coffee; 4.4 (795) — no specialty signals.</t>
  </si>
  <si>
    <t xml:space="preserve">Coffee shop since 2015 (Instagram).</t>
  </si>
  <si>
    <t xml:space="preserve">@tcsbhopal</t>
  </si>
  <si>
    <t xml:space="preserve">https://www.instagram.com/tcsbhopal/</t>
  </si>
  <si>
    <t xml:space="preserve">+91 98934 28407 (Yappe)</t>
  </si>
  <si>
    <t xml:space="preserve">1 of 2 read: https://yappe.in/madhya-pradesh/bhopal/tea-friends/123963</t>
  </si>
  <si>
    <t xml:space="preserve">C147</t>
  </si>
  <si>
    <t xml:space="preserve">The Ten Suites</t>
  </si>
  <si>
    <t xml:space="preserve">10 Civil Lines, Professors Colony</t>
  </si>
  <si>
    <t xml:space="preserve">Garden cafe of a 10-room boutique hotel; guests praise the coffee.</t>
  </si>
  <si>
    <t xml:space="preserve">One of the rare places with manual brew (Medium guide).</t>
  </si>
  <si>
    <t xml:space="preserve">Upgrade manual-brew beans.</t>
  </si>
  <si>
    <t xml:space="preserve">https://medium.com/@arunfabapr/the-best-coffee-shops-cafes-of-bhopal-7fb517e85e35</t>
  </si>
  <si>
    <t xml:space="preserve">1 of 2 read: https://wanderlog.com/place/details/4012486/the-ten-suites</t>
  </si>
  <si>
    <t xml:space="preserve">C148</t>
  </si>
  <si>
    <t xml:space="preserve">GLAAMZ</t>
  </si>
  <si>
    <t xml:space="preserve">Gwalior</t>
  </si>
  <si>
    <t xml:space="preserve">Keshar Towers, Racecourse Rd</t>
  </si>
  <si>
    <t xml:space="preserve">Bakery + cafe + terrace (eChai: 'Glaamz Bakery | Cafe | Terrace', City Centre).</t>
  </si>
  <si>
    <t xml:space="preserve">Bakery, cafe &amp; rooftop, pure veg (Instagram).</t>
  </si>
  <si>
    <t xml:space="preserve">@glaamz.gwalior</t>
  </si>
  <si>
    <t xml:space="preserve">https://www.instagram.com/glaamz.gwalior/</t>
  </si>
  <si>
    <t xml:space="preserve">C149</t>
  </si>
  <si>
    <t xml:space="preserve">DripCo Speciality Coffee Brewers</t>
  </si>
  <si>
    <t xml:space="preserve">Indore</t>
  </si>
  <si>
    <t xml:space="preserve">Shrinivasa House, 204 PU-4, behind C21 Mall, Scheme 54</t>
  </si>
  <si>
    <t xml:space="preserve">~₹500 for two; 4.5 (271)</t>
  </si>
  <si>
    <t xml:space="preserve">Hand-brewed pour-over, cold brew, 100% Arabica espresso; Zomato 4.2. Instagram: 'Indore's No.1 Coffee Experience', ~9am–11:30pm.</t>
  </si>
  <si>
    <t xml:space="preserve">Pour-over specialist in a city with few — offer exclusive estates for Indore.</t>
  </si>
  <si>
    <t xml:space="preserve">@dripcoindia</t>
  </si>
  <si>
    <t xml:space="preserve">https://www.instagram.com/dripcoindia/</t>
  </si>
  <si>
    <t xml:space="preserve">https://www.dripcospecialitycoffeebrewers.com/</t>
  </si>
  <si>
    <t xml:space="preserve">https://www.dripcospecialitycoffeebrewers.com/blog</t>
  </si>
  <si>
    <t xml:space="preserve">Indian origins/estates: Chikmagalur, Coorg / Kodagu; Imported origins: Ethiopia, Yirgacheffe, Colombia; Processes / format: Single origin, Micro-lot; Brew: Pour over, Cold brew, South Indian filter, V60, AeroPress, Chemex, Nitro, Flat white; Prices: ee Company ? The cost of two at Drip Co. Coffee Company is ₹ 500. You can save EXTRA | ee Company ? The cost of two at Drip Co. Coffee Company is ₹ 500. You can save EXTRA; ₹ 500 for two</t>
  </si>
  <si>
    <t xml:space="preserve">support@dripcospecialitycoffeebrewers.com · +91 75170 97109</t>
  </si>
  <si>
    <t xml:space="preserve">6 of 6 read: https://www.dripcospecialitycoffeebrewers.com/ https://www.dripcospecialitycoffeebrewers.com/about https://www.dripcospecialitycoffeebrewers.com/menu https://www.dripcospecialitycoffeebrewers.com/blog</t>
  </si>
  <si>
    <t xml:space="preserve">C150</t>
  </si>
  <si>
    <t xml:space="preserve">Ça|va</t>
  </si>
  <si>
    <t xml:space="preserve">NRK Biz Park</t>
  </si>
  <si>
    <t xml:space="preserve">Breakfast spot, first coffees out by 8:10am (Instagram).</t>
  </si>
  <si>
    <t xml:space="preserve">@cavacafee</t>
  </si>
  <si>
    <t xml:space="preserve">https://www.instagram.com/cavacafee/</t>
  </si>
  <si>
    <t xml:space="preserve">C151</t>
  </si>
  <si>
    <t xml:space="preserve">Absolute Coffee Brewers</t>
  </si>
  <si>
    <t xml:space="preserve">256 Vijay Nagar Sq, behind C21 Mall</t>
  </si>
  <si>
    <t xml:space="preserve">Est. 2022; live slow bar; 100% Arabica from Bababudangiri (Chikmagalur); V60, French press; croffles; hosts brewers' showcases.</t>
  </si>
  <si>
    <t xml:space="preserve">Single region (Bababudangiri).</t>
  </si>
  <si>
    <t xml:space="preserve">Contrasting regions/processes for the slow bar.</t>
  </si>
  <si>
    <t xml:space="preserve">Instagram: coffee brewers, 8am–11:30pm daily.</t>
  </si>
  <si>
    <t xml:space="preserve">Brew-led — single estate.</t>
  </si>
  <si>
    <t xml:space="preserve">@absolutecoffeebrewers</t>
  </si>
  <si>
    <t xml:space="preserve">https://www.instagram.com/absolutecoffeebrewers/</t>
  </si>
  <si>
    <t xml:space="preserve">+91 96304 64655 (Yappe)</t>
  </si>
  <si>
    <t xml:space="preserve">Indian origins/estates: Chikmagalur, Baba Budangiri; Brew: V60, Pour over, French press; ₹1,000 for two</t>
  </si>
  <si>
    <t xml:space="preserve">3 of 4 read: https://yappe.in/madhya-pradesh/indore/absolute-coffee-brewers-specialty-coffee/1761487 https://knocksense.com/indore/calling-coffee-enthusiasts-check-out-these-5-must-visit-spots-in-indore-for-a-divine-caffeine-fix https://curlytales.com/indore-has-a-messy-nutella-strawberry-cheesecake-thats-going-viral-we-got-you-all-the-deets</t>
  </si>
  <si>
    <t xml:space="preserve">C152</t>
  </si>
  <si>
    <t xml:space="preserve">Ground Zero / Habit (56 Dukan cluster)</t>
  </si>
  <si>
    <t xml:space="preserve">Habit — Coffee Lounge: UG-27 One Centre, 56 Dukan</t>
  </si>
  <si>
    <t xml:space="preserve">Habit coffee lounge 4.7 (159), 11 am–11:30 pm.</t>
  </si>
  <si>
    <t xml:space="preserve">Named as work-friendly specialty coffee spots near 56 Dukan.</t>
  </si>
  <si>
    <t xml:space="preserve">Owners: a lawyer and an IT professional (listing)</t>
  </si>
  <si>
    <t xml:space="preserve">https://www.stanzaliving.com/blog/cafes-in-indore</t>
  </si>
  <si>
    <t xml:space="preserve">Two venues; details thin Wave 4b: 'Ground Zero' not found.</t>
  </si>
  <si>
    <t xml:space="preserve">C153</t>
  </si>
  <si>
    <t xml:space="preserve">Love Over Coffee — Indore</t>
  </si>
  <si>
    <t xml:space="preserve">Plot 11, Scheme 51, Vijay Nagar</t>
  </si>
  <si>
    <t xml:space="preserve">₹250–400 (budget)</t>
  </si>
  <si>
    <t xml:space="preserve">Manual-brew single estates.</t>
  </si>
  <si>
    <t xml:space="preserve">Instagram: manual brewing | speciality coffee; 9:30am–1am.</t>
  </si>
  <si>
    <t xml:space="preserve">@loveovercoffee_indore_</t>
  </si>
  <si>
    <t xml:space="preserve">https://www.instagram.com/loveovercoffee_indore_/</t>
  </si>
  <si>
    <t xml:space="preserve">Prices: 6. Love Over Coffee – (₹250–₹400)</t>
  </si>
  <si>
    <t xml:space="preserve">1 of 1 read: https://www.freepressjournal.in/indore/indores-trendy-yet-budget-cafs-good-food-insta-friendly-ambience-without-burning-a-hole-in-pocket-cafe-hoppers-check-out-the-list-below</t>
  </si>
  <si>
    <t xml:space="preserve">C154</t>
  </si>
  <si>
    <t xml:space="preserve">Sip Coffee</t>
  </si>
  <si>
    <t xml:space="preserve">The Sip Coffee — G-5 Singapore Business Park, LIG Sq</t>
  </si>
  <si>
    <t xml:space="preserve">Instagram bio: 'Specialty Coffee • Desserts • Late-Night Talks'.</t>
  </si>
  <si>
    <t xml:space="preserve">Specialty-leaning dessert cafe.</t>
  </si>
  <si>
    <t xml:space="preserve">@sipcoffeeofficial</t>
  </si>
  <si>
    <t xml:space="preserve">https://www.instagram.com/sipcoffeeofficial/</t>
  </si>
  <si>
    <t xml:space="preserve">Wave 4: no specialty evidence found.</t>
  </si>
  <si>
    <t xml:space="preserve">Prices: wo at The Sip Coffee? The cost of two at The Sip Coffee is ₹ 1000. You can save EXTRA; ₹ 1000 for two</t>
  </si>
  <si>
    <t xml:space="preserve">2 of 2 read: https://www.eazydiner.com/indore/the-sip-coffee-singapore-business-park-indore-703117 https://www.eazydiner.com/indore/the-sip-coffee-singapore-business-park-indore-703117/menu</t>
  </si>
  <si>
    <t xml:space="preserve">C155</t>
  </si>
  <si>
    <t xml:space="preserve">Highbrooks Cafe</t>
  </si>
  <si>
    <t xml:space="preserve">Jabalpur</t>
  </si>
  <si>
    <t xml:space="preserve">Muskan Plaza (Shatabdipuram Ph 2) + Food Republic, Jabalpur; a Delhi outlet (Curly Tales)</t>
  </si>
  <si>
    <t xml:space="preserve">Yes — 'Highbrooks Cafe and Roasters'</t>
  </si>
  <si>
    <t xml:space="preserve">Manual brews (V60, AeroPress, French press) + espresso; shakes; work-friendly.</t>
  </si>
  <si>
    <t xml:space="preserve">Green coffee / guest micro-lot only.</t>
  </si>
  <si>
    <t xml:space="preserve">Sources beans carefully; added V60, AeroPress, French press to espresso.</t>
  </si>
  <si>
    <t xml:space="preserve">Only specialty-leaning cafe found in Jabalpur.</t>
  </si>
  <si>
    <t xml:space="preserve">@highbrooksjabalpur</t>
  </si>
  <si>
    <t xml:space="preserve">https://www.instagram.com/highbrooksjabalpur/</t>
  </si>
  <si>
    <t xml:space="preserve">+91 91311 00094 (Yappe)</t>
  </si>
  <si>
    <t xml:space="preserve">Sanket Sharma &amp; Vipul Abhishek (founders, 2018)</t>
  </si>
  <si>
    <t xml:space="preserve">https://wanderlog.com/place/details/10602229/the-highbrooks-cafe</t>
  </si>
  <si>
    <t xml:space="preserve">Wave 4b: outlet list differs by source (earlier: Adarsh Nagar + Vijay Nagar).</t>
  </si>
  <si>
    <t xml:space="preserve">Imported origins: Vietnam; Brew: V60, Pour over, AeroPress, French press</t>
  </si>
  <si>
    <t xml:space="preserve">3 of 5 read: https://wanderlog.com/place/details/10602229/the-highbrooks-cafe https://curlytales.com/madhya-pradeshs-famous-highbrooks-cafe-is-now-in-delhi https://yappe.in/madhya-pradesh/jabalpur/the-highbrooks-cafe/375731</t>
  </si>
  <si>
    <t xml:space="preserve">C161</t>
  </si>
  <si>
    <t xml:space="preserve">Beans &amp; Bun Cafe</t>
  </si>
  <si>
    <t xml:space="preserve">Bani Park</t>
  </si>
  <si>
    <t xml:space="preserve">Modern cafe 'specialising in exotic coffees'; posts Jul–Aug 2026.</t>
  </si>
  <si>
    <t xml:space="preserve">@beansnbunjaipur</t>
  </si>
  <si>
    <t xml:space="preserve">https://www.instagram.com/beansnbunjaipur/</t>
  </si>
  <si>
    <t xml:space="preserve">C163</t>
  </si>
  <si>
    <t xml:space="preserve">The Little Coffee Shop (TLCS)</t>
  </si>
  <si>
    <t xml:space="preserve">Chameliwala Market, M.I. Road</t>
  </si>
  <si>
    <t xml:space="preserve">Instagram: 'now brewing stories at TLCS'.</t>
  </si>
  <si>
    <t xml:space="preserve">@thelittlecoffeeshopjaipur</t>
  </si>
  <si>
    <t xml:space="preserve">https://www.instagram.com/thelittlecoffeeshopjaipur/</t>
  </si>
  <si>
    <t xml:space="preserve">Imported origins: Vietnam; Brew: Flat white, Cortado</t>
  </si>
  <si>
    <t xml:space="preserve">1 of 1 read: https://wanderlog.com/place/details/1414064</t>
  </si>
  <si>
    <t xml:space="preserve">C164</t>
  </si>
  <si>
    <t xml:space="preserve">Cafe Earnest</t>
  </si>
  <si>
    <t xml:space="preserve">J-50 B, Sarojini Marg, C-Scheme</t>
  </si>
  <si>
    <t xml:space="preserve">Speciality coffee, bakery &amp; pizzeria.</t>
  </si>
  <si>
    <t xml:space="preserve">~₹600 for two; 4.8 (119)</t>
  </si>
  <si>
    <t xml:space="preserve">Instagram: specialty coffee cafe with food and breads.</t>
  </si>
  <si>
    <t xml:space="preserve">@cafeearnest</t>
  </si>
  <si>
    <t xml:space="preserve">https://www.instagram.com/cafeearnest/</t>
  </si>
  <si>
    <t xml:space="preserve">Imported origins: Vietnam; Brew: Cortado; ₹500 for two</t>
  </si>
  <si>
    <t xml:space="preserve">3 of 3 read: https://wanderlog.com/place/details/9129203/cafe-earnest-speciality-coffee-bakery--pizzeria https://yappe.in/rajasthan/jaipur/cafe-earnest/288401 https://curlytales.com/web-stories/8-best-coffee-places-in-jaipur-for-your-fix-of-caffeine</t>
  </si>
  <si>
    <t xml:space="preserve">C165</t>
  </si>
  <si>
    <t xml:space="preserve">Town Coffee</t>
  </si>
  <si>
    <t xml:space="preserve">Jai Jawan Marg; 2.0 Ashok Nagar; 3.0 Vaishali Nagar; Malviya Nagar; Bais Godam</t>
  </si>
  <si>
    <t xml:space="preserve">4–5 outlet Jaipur chain: central-procurement pitch.</t>
  </si>
  <si>
    <t xml:space="preserve">Instagram: multi-award-winning cafe, brewing in Jaipur since 2019; 4 locations.</t>
  </si>
  <si>
    <t xml:space="preserve">Jaipur's biggest indie — supply deal.</t>
  </si>
  <si>
    <t xml:space="preserve">@towncoffeejaipur</t>
  </si>
  <si>
    <t xml:space="preserve">https://www.instagram.com/towncoffeejaipur/</t>
  </si>
  <si>
    <t xml:space="preserve">+91 141 408 6189 (Yappe)</t>
  </si>
  <si>
    <t xml:space="preserve">Imported origins: Vietnam; Processes / format: Single origin; Brew: V60, Pour over, Cold brew, South Indian filter; Prices: Town Coffee Cost: INR 200-600. Great value for the price. | Iced Americano Cost: INR 170 | Iced Caramel Latte Cost: INR 230; ₹900 for two</t>
  </si>
  <si>
    <t xml:space="preserve">4 of 4 read: https://haydenrue.com/india/rajasthan/town-coffee-in-jaipur/ https://yappe.in/rajasthan/jaipur/town-coffee/84211 https://yappe.in/rajasthan/jaipur/town-coffee-2-0/167749 https://www.district.in/blog/specialty-coffee-jaipur</t>
  </si>
  <si>
    <t xml:space="preserve">C166</t>
  </si>
  <si>
    <t xml:space="preserve">Hustlers Cafe</t>
  </si>
  <si>
    <t xml:space="preserve">Siddharth Nagar</t>
  </si>
  <si>
    <t xml:space="preserve">Fast-food cafe; coffee not detailed.</t>
  </si>
  <si>
    <t xml:space="preserve">~₹500 for two</t>
  </si>
  <si>
    <t xml:space="preserve">Brewing since 2022 (Instagram).</t>
  </si>
  <si>
    <t xml:space="preserve">@hustlerscafejaipur</t>
  </si>
  <si>
    <t xml:space="preserve">https://www.instagram.com/hustlerscafejaipur/</t>
  </si>
  <si>
    <t xml:space="preserve">1 of 1 read: https://www.eazydiner.com/jaipur/hustlers-cafe-jaipur-717927</t>
  </si>
  <si>
    <t xml:space="preserve">C167</t>
  </si>
  <si>
    <t xml:space="preserve">The House of Coffee</t>
  </si>
  <si>
    <t xml:space="preserve">G/F, F58 Sunder Marg, C Scheme; possible 2nd branch at Centre Court, Malviya Nagar</t>
  </si>
  <si>
    <t xml:space="preserve">Coffee, shakes, pizza, sandwiches; opens 8:30 am.</t>
  </si>
  <si>
    <t xml:space="preserve">~₹900 for two; 4.6 (201)</t>
  </si>
  <si>
    <t xml:space="preserve">Instagram: coffee + food, 8:30am–midnight.</t>
  </si>
  <si>
    <t xml:space="preserve">@thehouseofcoffee__</t>
  </si>
  <si>
    <t xml:space="preserve">https://www.instagram.com/thehouseofcoffee__/</t>
  </si>
  <si>
    <t xml:space="preserve">C168</t>
  </si>
  <si>
    <t xml:space="preserve">KaCoBa</t>
  </si>
  <si>
    <t xml:space="preserve">Narain Niwas Palace, Narayan Singh Rd</t>
  </si>
  <si>
    <t xml:space="preserve">Small-seat cafe with unique flavours (Jaipur coffee guides). LinkedIn: cafe + roaster founded 2021.</t>
  </si>
  <si>
    <t xml:space="preserve">Roasts own — collab/guest lot only.</t>
  </si>
  <si>
    <t xml:space="preserve">https://in.linkedin.com/company/worldofkacoba</t>
  </si>
  <si>
    <t xml:space="preserve">https://www.district.in/blog/specialty-coffee-jaipur</t>
  </si>
  <si>
    <t xml:space="preserve">Wave 4: also called 'Kassa Coffee Bar' — may be the KASA Coffee roaster.</t>
  </si>
  <si>
    <t xml:space="preserve">Brew: Pour over; Prices: Just Latte Cost: INR 200</t>
  </si>
  <si>
    <t xml:space="preserve">+91 86194 21409</t>
  </si>
  <si>
    <t xml:space="preserve">3 of 4 read: https://in.linkedin.com/company/worldofkacoba https://yappe.in/rajasthan/jaipur/kacoba-cafe-coffee-roasters/289108 https://haydenrue.com/india/rajasthan/kacoba-in-jaipur</t>
  </si>
  <si>
    <t xml:space="preserve">C169</t>
  </si>
  <si>
    <t xml:space="preserve">Birajo</t>
  </si>
  <si>
    <t xml:space="preserve">Jodhpur</t>
  </si>
  <si>
    <t xml:space="preserve">AIIMS Road, Basni</t>
  </si>
  <si>
    <t xml:space="preserve">Newer spot known for quality coffee and minimalist interiors.</t>
  </si>
  <si>
    <t xml:space="preserve">Jodhpur specialty lead.</t>
  </si>
  <si>
    <t xml:space="preserve">https://explorejodhpur.com/best-coffee-spots-in-jodhpur/</t>
  </si>
  <si>
    <t xml:space="preserve">Commodity brands: Starbucks; ₹400 for two</t>
  </si>
  <si>
    <t xml:space="preserve">1 of 1 read: https://explorejodhpur.com/best-coffee-spots-in-jodhpur/</t>
  </si>
  <si>
    <t xml:space="preserve">C170</t>
  </si>
  <si>
    <t xml:space="preserve">Cafe Frespresso</t>
  </si>
  <si>
    <t xml:space="preserve">Hot and cold coffees with Clock Tower views (Holidify).</t>
  </si>
  <si>
    <t xml:space="preserve">Named premium coffee option (2026 guide).</t>
  </si>
  <si>
    <t xml:space="preserve">1 of 3 read: https://www.holidify.com/pages/cafes-in-jodhpur-4502.html</t>
  </si>
  <si>
    <t xml:space="preserve">C171</t>
  </si>
  <si>
    <t xml:space="preserve">O'Brew</t>
  </si>
  <si>
    <t xml:space="preserve">Udaipur</t>
  </si>
  <si>
    <t xml:space="preserve">Ambamata, near Hotel Hilltop</t>
  </si>
  <si>
    <t xml:space="preserve">Specialty coffee and cold brews ('floral, non-acidic' per reviewers); rosewater iced latte.</t>
  </si>
  <si>
    <t xml:space="preserve">₹650–800 for two; 4.8 (~570)</t>
  </si>
  <si>
    <t xml:space="preserve">Newer specialty coffee house with terrace; recommended for single-origin / cold brew.</t>
  </si>
  <si>
    <t xml:space="preserve">Udaipur specialty lead.</t>
  </si>
  <si>
    <t xml:space="preserve">@obrew.udaipur</t>
  </si>
  <si>
    <t xml:space="preserve">https://www.instagram.com/obrew.udaipur/</t>
  </si>
  <si>
    <t xml:space="preserve">https://www.shoppingbazar.in/specialty-coffee-udaipur-third-wave-cafes/</t>
  </si>
  <si>
    <t xml:space="preserve">Imported origins: Mexico; ₹800 for two</t>
  </si>
  <si>
    <t xml:space="preserve">+91 86960 60123</t>
  </si>
  <si>
    <t xml:space="preserve">2 of 4 read: https://magicpin.in/Udaipur/Chandpole/Restaurant/Obrew/store/1cc03b2/ https://www.eazydiner.com/udaipur/obrew-ambamata-udaipur-694803</t>
  </si>
  <si>
    <t xml:space="preserve">C172</t>
  </si>
  <si>
    <t xml:space="preserve">Bachgen Cafe / The Laughing Bean / Black Kettle</t>
  </si>
  <si>
    <t xml:space="preserve">Listed with pour-over, V60, Chemex in one article.</t>
  </si>
  <si>
    <t xml:space="preserve">Check before outreach.</t>
  </si>
  <si>
    <t xml:space="preserve">UNVERIFIED — single source, not corroborated Wave 4b: none of the three names found. Udaipur's specialty names instead: Coffee Culture Udaipur (own CC Roastery), Brew Villa (Goram Ghat), Jheel's Ginger Coffee Bar.</t>
  </si>
  <si>
    <t xml:space="preserve">C183</t>
  </si>
  <si>
    <t xml:space="preserve">Coffee Gram</t>
  </si>
  <si>
    <t xml:space="preserve">Coffeegram — Lal Sain Mandir Marg, C2B Janakpuri</t>
  </si>
  <si>
    <t xml:space="preserve">4.5 (246)</t>
  </si>
  <si>
    <t xml:space="preserve">'New-style coffee shop', 3 West Delhi outlets (Instagram).</t>
  </si>
  <si>
    <t xml:space="preserve">@coffeegramdelhi</t>
  </si>
  <si>
    <t xml:space="preserve">https://www.instagram.com/coffeegramdelhi/</t>
  </si>
  <si>
    <t xml:space="preserve">C185</t>
  </si>
  <si>
    <t xml:space="preserve">Perch Wine &amp; Coffee Bar</t>
  </si>
  <si>
    <t xml:space="preserve">Khan Market, Saket, Vasant Vihar, Nizamuddin, GK-2</t>
  </si>
  <si>
    <t xml:space="preserve">Wine + coffee bar; coffee side built by ex-Kaffa Cerrado specialists.</t>
  </si>
  <si>
    <t xml:space="preserve">5-outlet group: pitch a house espresso + afternoon filter lot.</t>
  </si>
  <si>
    <t xml:space="preserve">'One of Delhi's upmarket bests' (Time Out).</t>
  </si>
  <si>
    <t xml:space="preserve">Upmarket; espresso blend.</t>
  </si>
  <si>
    <t xml:space="preserve">https://www.timeout.com/delhi/restaurants/the-best-coffee-shops-in-delhi</t>
  </si>
  <si>
    <t xml:space="preserve">3 of 5 read: https://www.eazydiner.com/delhi-ncr/restaurants/perch-wine-and-coffee-bar https://wanderlog.com/place/details/1079545/perch-wine--coffee-bar https://silverkris.singaporeair.com/guide/india/del/drink-new-delhi/perch-wine-and-coffee-bar/</t>
  </si>
  <si>
    <t xml:space="preserve">C187</t>
  </si>
  <si>
    <t xml:space="preserve">Brims</t>
  </si>
  <si>
    <t xml:space="preserve">Brims Modern Coffee — 2nd fl, HS-7 Kailash Colony Mkt, GK-1</t>
  </si>
  <si>
    <t xml:space="preserve">Nitro cold brew, matcha latte.</t>
  </si>
  <si>
    <t xml:space="preserve">Praised for barrel-aged espresso (BrewAtlas 2026). Instagram: specialty coffee, fresh bakes, 8am–10:30pm daily.</t>
  </si>
  <si>
    <t xml:space="preserve">Experimental espresso — barrel-aged / natural lots.</t>
  </si>
  <si>
    <t xml:space="preserve">@brimsmoderncoffee</t>
  </si>
  <si>
    <t xml:space="preserve">https://www.instagram.com/brimsmoderncoffee/</t>
  </si>
  <si>
    <t xml:space="preserve">+91 92665 68779 (Delhiites listing)</t>
  </si>
  <si>
    <t xml:space="preserve">https://brewatlas.co/delhi/cafes</t>
  </si>
  <si>
    <t xml:space="preserve">Brew: Cold brew, Nitro</t>
  </si>
  <si>
    <t xml:space="preserve">1 of 2 read: https://delhiitesmagazine.com/new-in-town-january-2025/</t>
  </si>
  <si>
    <t xml:space="preserve">C188</t>
  </si>
  <si>
    <t xml:space="preserve">Genre</t>
  </si>
  <si>
    <t xml:space="preserve">Shop 7, A-Block Defence Colony Mkt</t>
  </si>
  <si>
    <t xml:space="preserve">Delhi's first vinyl bar; classic espresso and lattes; hosted a Nandan Coffee takeover (Oct 2025).</t>
  </si>
  <si>
    <t xml:space="preserve">₹1,200–1,600 for two</t>
  </si>
  <si>
    <t xml:space="preserve">They host roaster takeovers — pitch a takeover night with our estates.</t>
  </si>
  <si>
    <t xml:space="preserve">European-style cafe, specialty coffee, literary/work vibe.</t>
  </si>
  <si>
    <t xml:space="preserve">Steady specialty programme.</t>
  </si>
  <si>
    <t xml:space="preserve">https://www.corner.inc/place/p7HpPpxdEgHr?listId=4337c3ac-f3b8-49aa-8482-a6b94a6b2110</t>
  </si>
  <si>
    <t xml:space="preserve">Roasters named on its own pages: Nandan Coffee; Processes / format: Experimental lot; Brew: Tasting flight / omakase</t>
  </si>
  <si>
    <t xml:space="preserve">4 of 5 read: https://www.district.in/nandan-coffee-takeover-at-genre-delhi-art-weekend-oct5-2025/event https://oteats.outlooktraveller.com/features/guides/delhi-unique-coffee-experiences-2025 https://www.localsamosa.com/food-and-drinks/genre-delhi-vinyl-bar-9420823 https://delhiitesmagazine.com/new-places-to-discover-in-delhi/</t>
  </si>
  <si>
    <t xml:space="preserve">C189</t>
  </si>
  <si>
    <t xml:space="preserve">Marcel's</t>
  </si>
  <si>
    <t xml:space="preserve">C-25, Block F, DDA Complex, Defence Colony</t>
  </si>
  <si>
    <t xml:space="preserve">Bold espresso: RAF, Iced Español.</t>
  </si>
  <si>
    <t xml:space="preserve">Neighbourhood specialty spot (BrewAtlas 2026). Instagram: neighbourhood space, 10am–11pm.</t>
  </si>
  <si>
    <t xml:space="preserve">Sample drop.</t>
  </si>
  <si>
    <t xml:space="preserve">@marcels.in</t>
  </si>
  <si>
    <t xml:space="preserve">https://www.instagram.com/marcels.in/</t>
  </si>
  <si>
    <t xml:space="preserve">1 of 3 read: https://curlytales.com/web-stories/7-new-coffee-places-in-delhi-that-every-coffee-lover-should-check-out</t>
  </si>
  <si>
    <t xml:space="preserve">C190</t>
  </si>
  <si>
    <t xml:space="preserve">Seven Seeds</t>
  </si>
  <si>
    <t xml:space="preserve">Seven Seeds Coffee — W-5 Arjun Nagar, Green Park (open till 4 am)</t>
  </si>
  <si>
    <t xml:space="preserve">₹800–1,200 for two</t>
  </si>
  <si>
    <t xml:space="preserve">Specialty cafe serving food (BrewAtlas 2026).</t>
  </si>
  <si>
    <t xml:space="preserve">https://brewatlas.co/delhi/cafes/food</t>
  </si>
  <si>
    <t xml:space="preserve">Only BrewAtlas listing found — confirm it exists</t>
  </si>
  <si>
    <t xml:space="preserve">Processes / format: Experimental lot; Brew: Cold brew, Flat white; Signals: Now open</t>
  </si>
  <si>
    <t xml:space="preserve">2 of 3 read: https://www.timeout.com/delhi/restaurants/seven-seeds-coffee https://curlytales.com/open-until-4-am-seven-seeds-coffee-is-delhis-new-late-night-cafe-dishing-out-gourmet-brews-cosy-vibes</t>
  </si>
  <si>
    <t xml:space="preserve">C191</t>
  </si>
  <si>
    <t xml:space="preserve">Charcha</t>
  </si>
  <si>
    <t xml:space="preserve">Bunglow Rd, Kamla Nagar + 'When Coffee Met Cocktail', F-15/A Vijay Nagar</t>
  </si>
  <si>
    <t xml:space="preserve">Cafe-bar: coffee or cocktails with quirky food (Bhoot Jolokia momos); 3.9 (226); ~₹1,000 for two.</t>
  </si>
  <si>
    <t xml:space="preserve">Coffee, cocktails, food (Instagram).</t>
  </si>
  <si>
    <t xml:space="preserve">@charcha.delhi</t>
  </si>
  <si>
    <t xml:space="preserve">https://www.instagram.com/charcha.delhi/</t>
  </si>
  <si>
    <t xml:space="preserve">2 of 2 read: https://www.eazydiner.com/delhi-ncr/charcha-kamla-nagar-north-delhi-682737 https://so.city/delhi/article/cafe-charcha-has-flung-its-doors-open-in-kamla-nagar-we-cant-keep-calm</t>
  </si>
  <si>
    <t xml:space="preserve">C192</t>
  </si>
  <si>
    <t xml:space="preserve">Mira's</t>
  </si>
  <si>
    <t xml:space="preserve">D-2 Defence Colony</t>
  </si>
  <si>
    <t xml:space="preserve">All-day cafe (new, Aug 2025): Vietnamese iced latte, tiramisu bar, Neapolitan pizza; named after the founders' grandmother.</t>
  </si>
  <si>
    <t xml:space="preserve">All-day cafe, opens 8am (Instagram).</t>
  </si>
  <si>
    <t xml:space="preserve">@mirasindelhi</t>
  </si>
  <si>
    <t xml:space="preserve">https://www.instagram.com/mirasindelhi/</t>
  </si>
  <si>
    <t xml:space="preserve">2 of 2 read: https://delhiitesmagazine.com/new-in-town-delhis-hottest-new-places-to-try-in-august-2025/ https://www.platform-mag.com/lifestyle/an-afternoon-at-miras.html</t>
  </si>
  <si>
    <t xml:space="preserve">C193</t>
  </si>
  <si>
    <t xml:space="preserve">Nun Kun</t>
  </si>
  <si>
    <t xml:space="preserve">Meherchand Market, Lodhi Estate</t>
  </si>
  <si>
    <t xml:space="preserve">Vegan &amp; gluten-free bakery + coffee, nurtured by Greenr.</t>
  </si>
  <si>
    <t xml:space="preserve">Clean-label positioning fits single estates.</t>
  </si>
  <si>
    <t xml:space="preserve">@nunkun_bakery</t>
  </si>
  <si>
    <t xml:space="preserve">https://www.instagram.com/nunkun_bakery/</t>
  </si>
  <si>
    <t xml:space="preserve">C196</t>
  </si>
  <si>
    <t xml:space="preserve">IKVITI</t>
  </si>
  <si>
    <t xml:space="preserve">Yes — listed as a mission-driven roastery (BrewAtlas)</t>
  </si>
  <si>
    <t xml:space="preserve">Small-batch, all-electric roasting of Indian estates; weekend community meet-ups (residential area).</t>
  </si>
  <si>
    <t xml:space="preserve">Green / guest micro-lot only.</t>
  </si>
  <si>
    <t xml:space="preserve">C197</t>
  </si>
  <si>
    <t xml:space="preserve">Cafe By Soul</t>
  </si>
  <si>
    <t xml:space="preserve">Delhi NCR</t>
  </si>
  <si>
    <t xml:space="preserve">DLF Phase 1 (4.2, 1.2K) + Sector 65 (4.5, 173), Gurugram</t>
  </si>
  <si>
    <t xml:space="preserve">Founder Sahil is SCA-certified barista (Tribune, May 2026).</t>
  </si>
  <si>
    <t xml:space="preserve">SCA-trained founder — quality pitch.</t>
  </si>
  <si>
    <t xml:space="preserve">Sahil (SCA-certified barista, founder)</t>
  </si>
  <si>
    <t xml:space="preserve">https://www.tribuneindia.com/news/business/sip-the-new-trend-5-must-visit-premium-coffee-cafes-in-delhi-ncr-2026/</t>
  </si>
  <si>
    <t xml:space="preserve">3 of 3 read: https://www.eazydiner.com/delhi-ncr/cafe-by-soul-dlf-phase-1-gurgaon-672222 https://www.eazydiner.com/delhi-ncr/cafe-by-soul-sector-65-gurgaon-690535/reviews https://www.tribuneindia.com/news/business/sip-the-new-trend-5-must-visit-premium-coffee-cafes-in-delhi-ncr-2026/</t>
  </si>
  <si>
    <t xml:space="preserve">C198</t>
  </si>
  <si>
    <t xml:space="preserve">The Black Coffee Cafe</t>
  </si>
  <si>
    <t xml:space="preserve">Noida / Gurugram</t>
  </si>
  <si>
    <t xml:space="preserve">Noida Sector 37 + Sector 62 (24 h) + Greater Noida</t>
  </si>
  <si>
    <t xml:space="preserve">Instagram: artisanal coffee house, Noida | Gurugram.</t>
  </si>
  <si>
    <t xml:space="preserve">@theblackcoffeecafeindia</t>
  </si>
  <si>
    <t xml:space="preserve">https://www.instagram.com/theblackcoffeecafeindia/</t>
  </si>
  <si>
    <t xml:space="preserve">Commodity brands: Starbucks; Signals: Now open</t>
  </si>
  <si>
    <t xml:space="preserve">1 of 2 read: https://yappe.in/uttar-pradesh/noida/the-black-coffee-cafe-bcc/899544</t>
  </si>
  <si>
    <t xml:space="preserve">C199</t>
  </si>
  <si>
    <t xml:space="preserve">Beige Coffee</t>
  </si>
  <si>
    <t xml:space="preserve">Faridabad</t>
  </si>
  <si>
    <t xml:space="preserve">Premium cafe for specialty coffee and gourmet food (wanderhoods).</t>
  </si>
  <si>
    <t xml:space="preserve">https://wanderhoods.com/best-cafes-in-faridabad-5-must-visit-coffee-spots/</t>
  </si>
  <si>
    <t xml:space="preserve">Imported origins: Vietnam; ₹1500 for two</t>
  </si>
  <si>
    <t xml:space="preserve">+91 92117 41666</t>
  </si>
  <si>
    <t xml:space="preserve">1 of 2 read: https://www.district.in/dining/ncr/beige-coffee-sector-15-faridabad</t>
  </si>
  <si>
    <t xml:space="preserve">C206</t>
  </si>
  <si>
    <t xml:space="preserve">1000% Artisan Coffee Bar</t>
  </si>
  <si>
    <t xml:space="preserve">South Point Mall (Golf Course Rd) + Galleria</t>
  </si>
  <si>
    <t xml:space="preserve">Instagram: artisan coffee bar 'powered by a passion to serve premium coffee'; 2 outlets; active Jul–Aug 2026.</t>
  </si>
  <si>
    <t xml:space="preserve">@1000percentcoffee</t>
  </si>
  <si>
    <t xml:space="preserve">https://www.instagram.com/1000percentcoffee/</t>
  </si>
  <si>
    <t xml:space="preserve">Wave 4: District shows it as closed — confirm it is operating.</t>
  </si>
  <si>
    <t xml:space="preserve">Brew: Pour over; ₹1400 for two</t>
  </si>
  <si>
    <t xml:space="preserve">+91 97161 99111</t>
  </si>
  <si>
    <t xml:space="preserve">1 of 2 read: https://www.district.in/dining/ncr/1000-artisan-coffee-bar-dlf-phase-4-gurgaon</t>
  </si>
  <si>
    <t xml:space="preserve">C207</t>
  </si>
  <si>
    <t xml:space="preserve">Fig at MG</t>
  </si>
  <si>
    <t xml:space="preserve">MG Road</t>
  </si>
  <si>
    <t xml:space="preserve">Instagram: specialty coffee, all-day dining &amp; bakehouse.</t>
  </si>
  <si>
    <t xml:space="preserve">@figatmgroad</t>
  </si>
  <si>
    <t xml:space="preserve">https://www.instagram.com/figatmgroad/</t>
  </si>
  <si>
    <t xml:space="preserve">Wave 4: not found; a 'Fig at Museo' (DLF Ph IV, Sec 28) exists — confirm the name.</t>
  </si>
  <si>
    <t xml:space="preserve">C209</t>
  </si>
  <si>
    <t xml:space="preserve">Kali Coffee</t>
  </si>
  <si>
    <t xml:space="preserve">Panchkula</t>
  </si>
  <si>
    <t xml:space="preserve">Sector 20, Panchkula</t>
  </si>
  <si>
    <t xml:space="preserve">'Where specialty coffee meets the comfort of an all-day cafe' (District).</t>
  </si>
  <si>
    <t xml:space="preserve">+91 172 410 2544 (Yappe)</t>
  </si>
  <si>
    <t xml:space="preserve">https://www.district.in/blog/specialty-coffee-cafes-chandigarh</t>
  </si>
  <si>
    <t xml:space="preserve">Imported origins: Vietnam; Processes / format: Single origin; Brew: Cortado, Cold brew, V60, Pour over; Prices: for two at Kali Coffee? The cost of two at Kali Coffee is ₹ 1200. You can save EXTRA | Coffee • ₹700 for two | ₹700 for two • Coffee • Italian; ₹ 1200 for two; Signals: Hiring</t>
  </si>
  <si>
    <t xml:space="preserve">4 of 4 read: https://www.eazydiner.com/chandigarh-tricity/kali-coffee-sector-20-panchkula-697000 https://www.district.in/blog/specialty-coffee-cafes-chandigarh https://yappe.in/haryana/panchkula/kali-coffee/66749 https://www.shoutlo.com/articles/what-makes-kali-coffee-panchkula-so-special-find-out</t>
  </si>
  <si>
    <t xml:space="preserve">C210</t>
  </si>
  <si>
    <t xml:space="preserve">Kapai Coffee House</t>
  </si>
  <si>
    <t xml:space="preserve">Kanpur</t>
  </si>
  <si>
    <t xml:space="preserve">Pandu Nagar / Model Town, Kanpur</t>
  </si>
  <si>
    <t xml:space="preserve">~₹1,000 for two; EazyDiner 4.4 (631)</t>
  </si>
  <si>
    <t xml:space="preserve">'Genuine coffee experience' (wanderon).</t>
  </si>
  <si>
    <t xml:space="preserve">https://wanderon.in/blogs/best-cafes-in-kanpur</t>
  </si>
  <si>
    <t xml:space="preserve">Prices: ai Coffee House ? The cost of two at Kapai Coffee House is ₹ 1000. You can save EXTRA | ai Coffee House ? The cost of two at Kapai Coffee House is ₹ 1000. You can save EXTRA; ₹ 1000 for two</t>
  </si>
  <si>
    <t xml:space="preserve">2 of 3 read: https://www.eazydiner.com/kanpur/kapai-coffe-house-pandu-nagar-kanpur-711604 https://www.eazydiner.com/kanpur/kapai-coffe-house-pandu-nagar-kanpur-711604/reviews</t>
  </si>
  <si>
    <t xml:space="preserve">C211</t>
  </si>
  <si>
    <t xml:space="preserve">Sidewalk</t>
  </si>
  <si>
    <t xml:space="preserve">Kanpur / Agra</t>
  </si>
  <si>
    <t xml:space="preserve">5 outlets: Kanpur (Swaroop Nagar), Lucknow, Agra (2)</t>
  </si>
  <si>
    <t xml:space="preserve">Specialty 100% Arabica custom blend.</t>
  </si>
  <si>
    <t xml:space="preserve">Bili Hu roasters (custom 100% Arabica blend)</t>
  </si>
  <si>
    <t xml:space="preserve">One custom blend, one supplier.</t>
  </si>
  <si>
    <t xml:space="preserve">Competing custom blend + a single-estate add-on.</t>
  </si>
  <si>
    <t xml:space="preserve">Same group as Common Time — pitch both brands together to Bhatia Hospitality.</t>
  </si>
  <si>
    <t xml:space="preserve">Own site: uses a custom specialty blend made by an external roaster.</t>
  </si>
  <si>
    <t xml:space="preserve">Already outsources a custom blend — pitch a competing custom blend.</t>
  </si>
  <si>
    <t xml:space="preserve">https://sidewalkindia.com/</t>
  </si>
  <si>
    <t xml:space="preserve">Sagar &amp; Jaivardhan Bhatia (Bhatia Hospitality Group)</t>
  </si>
  <si>
    <t xml:space="preserve">Indian origins/estates: Chikmagalur; Brew: Cold brew; Signals: Coming soon, Now open</t>
  </si>
  <si>
    <t xml:space="preserve">hello@sidewalkindia.com · +91 98380 00017</t>
  </si>
  <si>
    <t xml:space="preserve">6 of 6 read: https://sidewalkindia.com/ https://sidewalkindia.com/menu/ https://sidewalkindia.com/locations/ https://sidewalkindia.com/about-us/</t>
  </si>
  <si>
    <t xml:space="preserve">C215</t>
  </si>
  <si>
    <t xml:space="preserve">Overflow Coffee</t>
  </si>
  <si>
    <t xml:space="preserve">Gomti Nagar + Golf City (Click Collection Hotel) + Cantonment (MG Marg)</t>
  </si>
  <si>
    <t xml:space="preserve">No (Bloom collaboration)</t>
  </si>
  <si>
    <t xml:space="preserve">Espresso, cortado, latte and a single-origin pour-over (Bloom collaboration).</t>
  </si>
  <si>
    <t xml:space="preserve">Bloom Coffee Roasters (collaboration)</t>
  </si>
  <si>
    <t xml:space="preserve">Single-roaster dependency.</t>
  </si>
  <si>
    <t xml:space="preserve">Second roaster / guest single estate.</t>
  </si>
  <si>
    <t xml:space="preserve">DM @overflowlko; position as a complement to Bloom, not a replacement.</t>
  </si>
  <si>
    <t xml:space="preserve">Own site: every bean 80+ SCA; pour-over ~₹300; open 8am–10pm.</t>
  </si>
  <si>
    <t xml:space="preserve">Buys from an outside roaster — pitch a second roaster / guest single estate.</t>
  </si>
  <si>
    <t xml:space="preserve">@overflowlko</t>
  </si>
  <si>
    <t xml:space="preserve">https://www.instagram.com/overflowlko/</t>
  </si>
  <si>
    <t xml:space="preserve">https://overflowcoffee.in/</t>
  </si>
  <si>
    <t xml:space="preserve">Processes / format: Single origin; Brew: Pour over, Siphon, Decaf, Cold brew, Flat white, Cortado; Prices: idn't live up to the premium pricing. The coffee was around ₹250 and arrived lukewar | fast, and a house bakery in Golf City, Lucknow. Coffee from ₹200, food from ₹300, pa | e bakery in Golf City, Lucknow. Coffee from ₹200, food from ₹300, pastries baked fre; ₹ 1000 for two; Signals: Now open</t>
  </si>
  <si>
    <t xml:space="preserve">info@overflowcoffee.in</t>
  </si>
  <si>
    <t xml:space="preserve">6 of 6 read: https://overflowcoffee.in/ https://overflowcoffee.in/barista-course-lucknow/ https://overflowcoffee.in/menu/ https://overflowcoffee.in/about-overflow-coffee/</t>
  </si>
  <si>
    <t xml:space="preserve">C216</t>
  </si>
  <si>
    <t xml:space="preserve">CHACOCO</t>
  </si>
  <si>
    <t xml:space="preserve">B4/186 opp. LDA Market, Vishal Khand 4, Gomti Nagar</t>
  </si>
  <si>
    <t xml:space="preserve">Specialty tea + craft coffee.</t>
  </si>
  <si>
    <t xml:space="preserve">Partnered with 'one of India's top specialty coffee brands' (unnamed)</t>
  </si>
  <si>
    <t xml:space="preserve">Second roaster for a guest slot.</t>
  </si>
  <si>
    <t xml:space="preserve">Specialty coffee and experimental drinks (District).</t>
  </si>
  <si>
    <t xml:space="preserve">Experimental — process lots.</t>
  </si>
  <si>
    <t xml:space="preserve">https://www.knocksense.com/lucknow/ditch-the-old-cafes-lucknows-newest-chacoco-is-brewing-something-specialheres-why-youll-love-it/</t>
  </si>
  <si>
    <t xml:space="preserve">1 of 1 read: https://www.knocksense.com/lucknow/ditch-the-old-cafes-lucknows-newest-chacoco-is-brewing-something-specialheres-why-youll-love-it/</t>
  </si>
  <si>
    <t xml:space="preserve">C218</t>
  </si>
  <si>
    <t xml:space="preserve">Philtre &amp; Co.</t>
  </si>
  <si>
    <t xml:space="preserve">Naval Kishore Press, Hazratganj (2,000 sq ft, 55 seats)</t>
  </si>
  <si>
    <t xml:space="preserve">Instagram: espresso bar &amp; bakehouse, artisanal all-day cafe.</t>
  </si>
  <si>
    <t xml:space="preserve">Espresso bar — estate blend.</t>
  </si>
  <si>
    <t xml:space="preserve">@philtrecoindia</t>
  </si>
  <si>
    <t xml:space="preserve">https://www.instagram.com/philtrecoindia/</t>
  </si>
  <si>
    <t xml:space="preserve">City inferred from Lucknow search — confirm Wave 4: confirmed in Lucknow (design press).</t>
  </si>
  <si>
    <t xml:space="preserve">1 of 2 read: https://ideal.house/community/news/this-quaint-new-cafe-in-lucknow-is-an-ode-to-the-citys-rich-design-legacy</t>
  </si>
  <si>
    <t xml:space="preserve">C219</t>
  </si>
  <si>
    <t xml:space="preserve">Baskè</t>
  </si>
  <si>
    <t xml:space="preserve">Comfort Hotel Vista, Golf City, Ansal API</t>
  </si>
  <si>
    <t xml:space="preserve">Patisserie-cafe pairing artisanal bakes with specialty coffee and matcha.</t>
  </si>
  <si>
    <t xml:space="preserve">Two outlets — estate espresso.</t>
  </si>
  <si>
    <t xml:space="preserve">@baske.lucknow</t>
  </si>
  <si>
    <t xml:space="preserve">https://www.instagram.com/baske.lucknow/</t>
  </si>
  <si>
    <t xml:space="preserve">1 of 2 read: https://www.lucknowwants.com/new-in-town/baskè-lucknows-newest-gem-for-artisanal-bakes-specialty-coffee</t>
  </si>
  <si>
    <t xml:space="preserve">C220</t>
  </si>
  <si>
    <t xml:space="preserve">Habidade</t>
  </si>
  <si>
    <t xml:space="preserve">Noida</t>
  </si>
  <si>
    <t xml:space="preserve">Yadhuvanshi Tower, Sector 104, Noida</t>
  </si>
  <si>
    <t xml:space="preserve">Three levels with a live barista counter: Chemex, AeroPress, V60, coffee shrubs, kombucha; manual brew from ₹190; 4.8 (2,981).</t>
  </si>
  <si>
    <t xml:space="preserve">Manual-brew-led and high volume — pitch a rotating single estate for Chemex/V60 + barista calibration.</t>
  </si>
  <si>
    <t xml:space="preserve">Listed among Noida specialty coffee spots (District).</t>
  </si>
  <si>
    <t xml:space="preserve">https://www.district.in/blog/specialty-coffee-noida</t>
  </si>
  <si>
    <t xml:space="preserve">Imported origins: Vietnam; Processes / format: House blend; Brew: Siphon, AeroPress, Cold brew, Cascara; Prices: Coffee • ₹500 for two | Coffee • ₹1100 for two | ₹500 for two • Coffee; ₹800 for two</t>
  </si>
  <si>
    <t xml:space="preserve">+91 87997 79389</t>
  </si>
  <si>
    <t xml:space="preserve">4 of 4 read: https://www.district.in/dining/ncr/habidade-hajipur-noida https://www.district.in/blog/specialty-coffee-noida https://wanderlog.com/place/details/10672303 https://yappe.in/uttar-pradesh/noida/habidade/723828</t>
  </si>
  <si>
    <t xml:space="preserve">C221</t>
  </si>
  <si>
    <t xml:space="preserve">Colocal Chocolates</t>
  </si>
  <si>
    <t xml:space="preserve">HA-017 Sector 104, Noida + Chhatarpur</t>
  </si>
  <si>
    <t xml:space="preserve">Bean-to-bar Indian-origin chocolate cafe; cappuccino; sibling coffee house in Noida.</t>
  </si>
  <si>
    <t xml:space="preserve">Bean-to-bar chocolate + quality coffee.</t>
  </si>
  <si>
    <t xml:space="preserve">Craft-food buyer — origin pairing.</t>
  </si>
  <si>
    <t xml:space="preserve">1 of 4 read: https://wanderlog.com/place/details/10619816/colocal-chocolates--noida</t>
  </si>
  <si>
    <t xml:space="preserve">C222</t>
  </si>
  <si>
    <t xml:space="preserve">The Haven Coffee House</t>
  </si>
  <si>
    <t xml:space="preserve">Gardenia Gateway Sec 75 + GT 40 Sec 117 + Jalvayu Vihar Sec 21 (Noida)</t>
  </si>
  <si>
    <t xml:space="preserve">Single-estate coffee; filter coffee in wooden cups; books and games.</t>
  </si>
  <si>
    <t xml:space="preserve">Instagram: specialty coffee &amp; food, private lounge, events, workshops.</t>
  </si>
  <si>
    <t xml:space="preserve">@thehavennoida</t>
  </si>
  <si>
    <t xml:space="preserve">https://www.instagram.com/thehavennoida/</t>
  </si>
  <si>
    <t xml:space="preserve">Brew: Cold brew, Espresso tonic; ₹1300 for two</t>
  </si>
  <si>
    <t xml:space="preserve">+91 97170 59002 · +91 97170 99392</t>
  </si>
  <si>
    <t xml:space="preserve">2 of 3 read: https://www.district.in/dining/ncr/the-haven-coffee-house-sector-72-noida https://lbb.in/places/The-Haven-International-Coffee-House-noida-41d1f3</t>
  </si>
  <si>
    <t xml:space="preserve">C223</t>
  </si>
  <si>
    <t xml:space="preserve">Alma Bakery &amp; Cafe</t>
  </si>
  <si>
    <t xml:space="preserve">Sector 104</t>
  </si>
  <si>
    <t xml:space="preserve">Bakery (2018) + cafe (2019); cappuccino with in-house sourdough; plant-filled 'Central Perk' room.</t>
  </si>
  <si>
    <t xml:space="preserve">~₹1,000 for two; 4.4 (1.5K)</t>
  </si>
  <si>
    <t xml:space="preserve">Work-friendly bakery-cafe (magicpin May 2026).</t>
  </si>
  <si>
    <t xml:space="preserve">https://magicpin.in/blog/india/noida/food-and-beverage/best-cafes-in-noida-for-work-from-cafe</t>
  </si>
  <si>
    <t xml:space="preserve">1 of 4 read: https://www.eazydiner.com/delhi-ncr/alma-bakery-cafe-sector-104-noida-703271</t>
  </si>
  <si>
    <t xml:space="preserve">C224</t>
  </si>
  <si>
    <t xml:space="preserve">Tan Coffee</t>
  </si>
  <si>
    <t xml:space="preserve">Sector 104 Noida (also Model Town, Jalandhar)</t>
  </si>
  <si>
    <t xml:space="preserve">Rooftop cafe; mocha, Nutella croissant; no bean information.</t>
  </si>
  <si>
    <t xml:space="preserve">Homegrown roastery vibe, rooftop (Noida).</t>
  </si>
  <si>
    <t xml:space="preserve">Brew: Flat white, Cold brew; Prices: Coffee • ₹1100 for two | ₹1300 for two • Coffee • Continental; ₹1100 for two</t>
  </si>
  <si>
    <t xml:space="preserve">2 of 2 read: https://www.district.in/blog/specialty-coffee-noida https://wanderlog.com/place/details/10567892/tan-coffee</t>
  </si>
  <si>
    <t xml:space="preserve">C225</t>
  </si>
  <si>
    <t xml:space="preserve">Cafe Meraki — Prayagraj</t>
  </si>
  <si>
    <t xml:space="preserve">Prayagraj</t>
  </si>
  <si>
    <t xml:space="preserve">18 C/28A Sarojini Naidu Marg, Civil Lines</t>
  </si>
  <si>
    <t xml:space="preserve">Coffee cafe brewing Blue Tokai beans (reviewer: 'aromatic').</t>
  </si>
  <si>
    <t xml:space="preserve">Blue Tokai (per a reviewer)</t>
  </si>
  <si>
    <t xml:space="preserve">~₹650 for two; 4.3 (483)</t>
  </si>
  <si>
    <t xml:space="preserve">On Blue Tokai, the standard national brand.</t>
  </si>
  <si>
    <t xml:space="preserve">Offer a fresher single estate at matched wholesale pricing, alongside or instead of Blue Tokai.</t>
  </si>
  <si>
    <t xml:space="preserve">Coffee · food · music · culture (Instagram).</t>
  </si>
  <si>
    <t xml:space="preserve">@cafemeraki.prayagraj</t>
  </si>
  <si>
    <t xml:space="preserve">https://www.instagram.com/cafemeraki.prayagraj/</t>
  </si>
  <si>
    <t xml:space="preserve">₹ 650 for two</t>
  </si>
  <si>
    <t xml:space="preserve">2 of 2 read: https://www.eazydiner.com/prayagraj/cafe-meraki-civil-lines-prayagraj-691222/reviews https://www.eazydiner.com/prayagraj/cafe-meraki-civil-lines-prayagraj-691222</t>
  </si>
  <si>
    <t xml:space="preserve">C226</t>
  </si>
  <si>
    <t xml:space="preserve">Svas — Specialty Coffee, Matcha &amp; Bakes</t>
  </si>
  <si>
    <t xml:space="preserve">Varanasi</t>
  </si>
  <si>
    <t xml:space="preserve">Mahmoorganj</t>
  </si>
  <si>
    <t xml:space="preserve">Tripadvisor 5.0 (10); recommended for serious coffee in Varanasi.</t>
  </si>
  <si>
    <t xml:space="preserve">Varanasi's specialty lead; beans currently roasted in South.</t>
  </si>
  <si>
    <t xml:space="preserve">https://www.pinaak.co/discover/varanasi-cafes-restaurants</t>
  </si>
  <si>
    <t xml:space="preserve">Roasters named in articles about it: 4689 SHIROPAGU Coffee Roasters</t>
  </si>
  <si>
    <t xml:space="preserve">1 of 1 read: https://www.pinaak.co/discover/varanasi-cafes-restaurants</t>
  </si>
  <si>
    <t xml:space="preserve">C228</t>
  </si>
  <si>
    <t xml:space="preserve">Greko : God's Own Coffee</t>
  </si>
  <si>
    <t xml:space="preserve">Amritsar / Jalandhar / Mohali</t>
  </si>
  <si>
    <t xml:space="preserve">Founded 2022 in Amritsar; Jalandhar (Model Town), Phagwara, Mohali; formats Greko Reserve, Drip by Greko</t>
  </si>
  <si>
    <t xml:space="preserve">Multi-format Punjab chain — pitch a house blend for Greko and a single estate for Greko Reserve / Drip.</t>
  </si>
  <si>
    <t xml:space="preserve">Cafes in Amritsar, Jalandhar, Mohali (Instagram).</t>
  </si>
  <si>
    <t xml:space="preserve">Punjab multi-outlet — blend.</t>
  </si>
  <si>
    <t xml:space="preserve">@greko.espresso</t>
  </si>
  <si>
    <t xml:space="preserve">https://www.instagram.com/greko.espresso/</t>
  </si>
  <si>
    <t xml:space="preserve">C229</t>
  </si>
  <si>
    <t xml:space="preserve">Wht Blk — Art Coffee House</t>
  </si>
  <si>
    <t xml:space="preserve">Jalandhar</t>
  </si>
  <si>
    <t xml:space="preserve">Jalandhar's first art-themed coffee house (Instagram).</t>
  </si>
  <si>
    <t xml:space="preserve">@wht.blk.coffeehouse</t>
  </si>
  <si>
    <t xml:space="preserve">https://www.instagram.com/wht.blk.coffeehouse/</t>
  </si>
  <si>
    <t xml:space="preserve">C230</t>
  </si>
  <si>
    <t xml:space="preserve">Coso Cafe</t>
  </si>
  <si>
    <t xml:space="preserve">Ludhiana</t>
  </si>
  <si>
    <t xml:space="preserve">Reviewer: 'best cafe for premium coffee in our area'.</t>
  </si>
  <si>
    <t xml:space="preserve">https://restaurant-guru.in/cafe-Ludhiana-t6</t>
  </si>
  <si>
    <t xml:space="preserve">1 of 1 read: https://restaurant-guru.in/cafe-Ludhiana-t6</t>
  </si>
  <si>
    <t xml:space="preserve">C231</t>
  </si>
  <si>
    <t xml:space="preserve">Elgin Cafe</t>
  </si>
  <si>
    <t xml:space="preserve">Signature coffees/lattes + Asian food.</t>
  </si>
  <si>
    <t xml:space="preserve">https://www.dinediary.in/2026/03/best-cafes-in-ludhiana.html?m=1</t>
  </si>
  <si>
    <t xml:space="preserve">Wave 4: design press places Elgin Cafe on Ajnala Rd, Amritsar; a Ludhiana listing (South City) also exists — confirm which.</t>
  </si>
  <si>
    <t xml:space="preserve">₹ 2300 for two</t>
  </si>
  <si>
    <t xml:space="preserve">4 of 4 read: https://www.eazydiner.com/ludhiana/elgin-cafe-canal-road-ludhiana-709873 https://www.dinediary.in/2026/03/best-cafes-in-ludhiana.html?m=1 https://thespaces.com/elgin-cafe-punjab/ https://foodinspace.net/project/elgin-cafe-kamboh-india</t>
  </si>
  <si>
    <t xml:space="preserve">C232</t>
  </si>
  <si>
    <t xml:space="preserve">HeeBee Coffee</t>
  </si>
  <si>
    <t xml:space="preserve">Sarabha Nagar</t>
  </si>
  <si>
    <t xml:space="preserve">Espresso and specialty lattes; 4.3.</t>
  </si>
  <si>
    <t xml:space="preserve">https://www.explurger.com/pd/p5kv9l6q6vjy8n2cx</t>
  </si>
  <si>
    <t xml:space="preserve">1 of 1 read: https://www.explurger.com/pd/p5kv9l6q6vjy8n2cx</t>
  </si>
  <si>
    <t xml:space="preserve">C233</t>
  </si>
  <si>
    <t xml:space="preserve">Cafe Rue 18</t>
  </si>
  <si>
    <t xml:space="preserve">₹900–1,800 for two</t>
  </si>
  <si>
    <t xml:space="preserve">Speciality coffee in a coffee-cup-shaped building; women-led kitchen; ₹900–1,800 for two; 11am–2am.</t>
  </si>
  <si>
    <t xml:space="preserve">@caferue18</t>
  </si>
  <si>
    <t xml:space="preserve">https://www.instagram.com/caferue18/</t>
  </si>
  <si>
    <t xml:space="preserve">2 of 3 read: https://www.dinediary.in/2026/03/best-cafes-in-ludhiana.html?m=1 https://www.explurger.com/pd/a8v072gh673rrd8sz</t>
  </si>
  <si>
    <t xml:space="preserve">C235</t>
  </si>
  <si>
    <t xml:space="preserve">Pull and Pour Speciality Coffee</t>
  </si>
  <si>
    <t xml:space="preserve">ALC District, Sector 68, Mohali</t>
  </si>
  <si>
    <t xml:space="preserve">House-blend espresso (Espresso ₹119, Americano ₹169, Cappuccino ₹219, Mocha ₹279) + single-origin V60 pour-overs.</t>
  </si>
  <si>
    <t xml:space="preserve">Espresso ₹119, Americano ₹169, cappuccino ₹219 (~₹500 for two); Swiggy 4.5 (121)</t>
  </si>
  <si>
    <t xml:space="preserve">Single-origin V60 line is the obvious slot for rotation.</t>
  </si>
  <si>
    <t xml:space="preserve">Rotating single estates for V60 + a house-blend alternative.</t>
  </si>
  <si>
    <t xml:space="preserve">Tricity's pour-over leader — DM + walk-in cupping.</t>
  </si>
  <si>
    <t xml:space="preserve">Single-origin V60 pour-overs; 4.6 (District).</t>
  </si>
  <si>
    <t xml:space="preserve">Tricity's pour-over leader.</t>
  </si>
  <si>
    <t xml:space="preserve">@pullandpourindia</t>
  </si>
  <si>
    <t xml:space="preserve">https://www.instagram.com/pullandpourindia/</t>
  </si>
  <si>
    <t xml:space="preserve">https://www.zomato.com/chandigarh/pull-and-pour-speciality-coffee-sector-67-mohali/order</t>
  </si>
  <si>
    <t xml:space="preserve">https://www.district.in/dining/chandigarh/pull-and-pour-speciality-coffee-sector-67-mohali</t>
  </si>
  <si>
    <t xml:space="preserve">Prices: ₹1100 for two ⎜ Pull And Pour Speciality Coffee, ALC District One, SCO 45, Sector 68, Sahibzada Ajit Singh Nagar, Sector 67, Mohali; ₹1100 for two</t>
  </si>
  <si>
    <t xml:space="preserve">+91 90566 66190</t>
  </si>
  <si>
    <t xml:space="preserve">1 of 3 read: https://www.district.in/dining/chandigarh/pull-and-pour-speciality-coffee-sector-67-mohali</t>
  </si>
  <si>
    <t xml:space="preserve">C236</t>
  </si>
  <si>
    <t xml:space="preserve">Graph Cafe</t>
  </si>
  <si>
    <t xml:space="preserve">Chandigarh</t>
  </si>
  <si>
    <t xml:space="preserve">Sector 7</t>
  </si>
  <si>
    <t xml:space="preserve">Work-friendly cafe (travell.cc 2026).</t>
  </si>
  <si>
    <t xml:space="preserve">https://travell.cc/chandigarh/best-cafes-in-chandigarh/</t>
  </si>
  <si>
    <t xml:space="preserve">C237</t>
  </si>
  <si>
    <t xml:space="preserve">Kamaa Cafe / Beige Cafe / The Hedgehog Cafe</t>
  </si>
  <si>
    <t xml:space="preserve">Kamaa: sushi/subs, cinnamon coffee (4.7, 33). Beige Café &amp; Bakery (Madhya Marg): 'house-roasted specialty coffee' (Arch.Lab design). Hedgehog: book cafe, freshly brewed coffee.</t>
  </si>
  <si>
    <t xml:space="preserve">Sector 7 cafe cluster, Google 4.3–4.6.</t>
  </si>
  <si>
    <t xml:space="preserve">https://chdlife.com/top-14-best-cafes-in-chandigarh/</t>
  </si>
  <si>
    <t xml:space="preserve">Wave 4b: Beige says its coffee is house-roasted — if it roasts, treat it as a green-lot lead.</t>
  </si>
  <si>
    <t xml:space="preserve">0 of 6 read: </t>
  </si>
  <si>
    <t xml:space="preserve">C238</t>
  </si>
  <si>
    <t xml:space="preserve">Rustic Door</t>
  </si>
  <si>
    <t xml:space="preserve">SCO 2, 10-D, Sector 10</t>
  </si>
  <si>
    <t xml:space="preserve">Kitchen lounge and bar (2014), Italian food; coffee secondary.</t>
  </si>
  <si>
    <t xml:space="preserve">Best-brunch pick (travell.cc 2026).</t>
  </si>
  <si>
    <t xml:space="preserve">+91 172 6530234 (Tripoto)</t>
  </si>
  <si>
    <t xml:space="preserve">1 of 3 read: https://wanderlog.com/place/details/1395128/rustic-door-chandigarh</t>
  </si>
  <si>
    <t xml:space="preserve">C239</t>
  </si>
  <si>
    <t xml:space="preserve">Backstreet Cafe</t>
  </si>
  <si>
    <t xml:space="preserve">Sector 10</t>
  </si>
  <si>
    <t xml:space="preserve">Single-origin pour-overs.</t>
  </si>
  <si>
    <t xml:space="preserve">Rotating single estates for the pour-over bar.</t>
  </si>
  <si>
    <t xml:space="preserve">Described as Chandigarh's 'true third-wave' specialty shop: pour-over, single-origin beans.</t>
  </si>
  <si>
    <t xml:space="preserve">Wave 4: the only source is an AI-style travel guide that says its author never visited; Wanderlog reviews under this name are from Australia. Unverified — confirm before outreach.</t>
  </si>
  <si>
    <t xml:space="preserve">C240</t>
  </si>
  <si>
    <t xml:space="preserve">Offlimits</t>
  </si>
  <si>
    <t xml:space="preserve">Himachal Pradesh</t>
  </si>
  <si>
    <t xml:space="preserve">Kasol</t>
  </si>
  <si>
    <t xml:space="preserve">Specialty coffee; Google 4.4 (2,700+).</t>
  </si>
  <si>
    <t xml:space="preserve">High-footfall — blend + retail.</t>
  </si>
  <si>
    <t xml:space="preserve">https://refuje.com/blog/best-cafes-himachal-pradesh-every-town</t>
  </si>
  <si>
    <t xml:space="preserve">Prices: Offlimits Coffee is the specialty coffee answer in Kasol, Rs 800-1,000 for two, 4.4 | Shimla Rs 200-300 (Indian Coffee House) Rs 500-700 (Wake &amp; Bake, Honey Hut) Rs 600-900 (Simla Times)</t>
  </si>
  <si>
    <t xml:space="preserve">2 of 4 read: https://refuje.com/blog/best-cafes-himachal-pradesh-every-town https://wanderlog.com/place/details/2190167/offlimits-coffee-kasol</t>
  </si>
  <si>
    <t xml:space="preserve">C241</t>
  </si>
  <si>
    <t xml:space="preserve">The Little Sisters</t>
  </si>
  <si>
    <t xml:space="preserve">Manali</t>
  </si>
  <si>
    <t xml:space="preserve">Manu Temple Road, Old Manali</t>
  </si>
  <si>
    <t xml:space="preserve">Specialty coffee with vegan menu (2026 local guide).</t>
  </si>
  <si>
    <t xml:space="preserve">Tourist specialty — retail bags too.</t>
  </si>
  <si>
    <t xml:space="preserve">https://himlocal.com/blog/cafes-in-manali</t>
  </si>
  <si>
    <t xml:space="preserve">Brew: Pour over, AeroPress, French press, Moka pot</t>
  </si>
  <si>
    <t xml:space="preserve">1 of 1 read: https://himlocal.com/blog/cafes-in-manali</t>
  </si>
  <si>
    <t xml:space="preserve">C242</t>
  </si>
  <si>
    <t xml:space="preserve">The Other Space</t>
  </si>
  <si>
    <t xml:space="preserve">McLeodganj</t>
  </si>
  <si>
    <t xml:space="preserve">Jogiwara Rd, Sudher (above McLeodganj)</t>
  </si>
  <si>
    <t xml:space="preserve">Sister cafe of Illiterati; co-working + quiet room; iced lattes, cappuccinos; cinnamon rolls; valley balcony.</t>
  </si>
  <si>
    <t xml:space="preserve">Pitch both cafes (Illiterati + The Other Space) together; seasonal tourist and remote-worker trade.</t>
  </si>
  <si>
    <t xml:space="preserve">Filter coffee ₹90–140.</t>
  </si>
  <si>
    <t xml:space="preserve">https://dharamshalaguide.com/cafes-in-mcleodganj/</t>
  </si>
  <si>
    <t xml:space="preserve">Brew: South Indian filter; Prices: Average price: Coffee Rs 90 to Rs 140. Cakes Rs 120 to Rs 200. | Moonpeak Espresso Best coffee Rs 80 to Rs 180 Weak</t>
  </si>
  <si>
    <t xml:space="preserve">4 of 4 read: https://dharamshalaguide.com/cafes-in-mcleodganj/ https://urbanaut.app/spot/the-other-space https://travelcoffee.in/blog/best-cafes-in-mcleodganj https://curlytales.com/5-best-breakfast-spots-in-mcleodganj-to-start-the-day-on-a-hearty-note</t>
  </si>
  <si>
    <t xml:space="preserve">C243</t>
  </si>
  <si>
    <t xml:space="preserve">Aristella Cafe &amp; Bar</t>
  </si>
  <si>
    <t xml:space="preserve">Uttarakhand</t>
  </si>
  <si>
    <t xml:space="preserve">Dehradun</t>
  </si>
  <si>
    <t xml:space="preserve">Old Mussoorie Road, Rajpur</t>
  </si>
  <si>
    <t xml:space="preserve">Estate coffees (not named).</t>
  </si>
  <si>
    <t xml:space="preserve">Estate coffee selection + espresso and pastries (own site).</t>
  </si>
  <si>
    <t xml:space="preserve">https://aristella.in/cafe-in-mussoorie-road-dehradun</t>
  </si>
  <si>
    <t xml:space="preserve">Brew: Cold brew; Signals: Now open, Wholesale / cafe partners</t>
  </si>
  <si>
    <t xml:space="preserve">Aristellafoods@gmail.com · +91 74528 92788</t>
  </si>
  <si>
    <t xml:space="preserve">6 of 6 read: https://aristella.in/cafe-in-mussoorie-road-dehradun https://aristella.in/index.html https://aristella.in/menu.html https://aristella.in/about-us.html</t>
  </si>
  <si>
    <t xml:space="preserve">C244</t>
  </si>
  <si>
    <t xml:space="preserve">Brewer's Cafe</t>
  </si>
  <si>
    <t xml:space="preserve">EC Road</t>
  </si>
  <si>
    <t xml:space="preserve">Yes — owners roast their own beans</t>
  </si>
  <si>
    <t xml:space="preserve">Own roastery (owners roast)</t>
  </si>
  <si>
    <t xml:space="preserve">Indie third-wave cafe run by a couple who roast their own beans.</t>
  </si>
  <si>
    <t xml:space="preserve">https://farzicafedehradun.com/best-cafe-in-dehradun.html</t>
  </si>
  <si>
    <t xml:space="preserve">Brew: V60, Cold brew</t>
  </si>
  <si>
    <t xml:space="preserve">1 of 2 read: https://farzicafedehradun.com/best-cafe-in-dehradun.html</t>
  </si>
  <si>
    <t xml:space="preserve">C245</t>
  </si>
  <si>
    <t xml:space="preserve">Kohi Co-Working Cafe</t>
  </si>
  <si>
    <t xml:space="preserve">Rishikesh</t>
  </si>
  <si>
    <t xml:space="preserve">Single estates + retail bags for travellers.</t>
  </si>
  <si>
    <t xml:space="preserve">'An expert on beans and how to make them'; pour-over on menu.</t>
  </si>
  <si>
    <t xml:space="preserve">https://www.baliyogaschool.com/10-best-cafes-in-rishikesh-for-food-vibe-and-best-working-space/</t>
  </si>
  <si>
    <t xml:space="preserve">C246</t>
  </si>
  <si>
    <t xml:space="preserve">Roasted by Roseate</t>
  </si>
  <si>
    <t xml:space="preserve">The Roseate Ganges (also New Delhi, Gurugram)</t>
  </si>
  <si>
    <t xml:space="preserve">Roseate hotels' coffee cafe brand with co-working space.</t>
  </si>
  <si>
    <t xml:space="preserve">https://roseatehotels.com/cafes/</t>
  </si>
  <si>
    <t xml:space="preserve">1 of 1 read: https://roseatehotels.com/cafes/</t>
  </si>
  <si>
    <t xml:space="preserve">C247</t>
  </si>
  <si>
    <t xml:space="preserve">The Metta Cafe</t>
  </si>
  <si>
    <t xml:space="preserve">Ladakh</t>
  </si>
  <si>
    <t xml:space="preserve">Leh</t>
  </si>
  <si>
    <t xml:space="preserve">Known for specialty coffee and hot chocolate.</t>
  </si>
  <si>
    <t xml:space="preserve">Seasonal tourist trade.</t>
  </si>
  <si>
    <t xml:space="preserve">https://wanderlog.com/list/geoCategory/291116</t>
  </si>
  <si>
    <t xml:space="preserve">1 of 4 read: https://wanderlog.com/place/details/1324876/metta-cafe</t>
  </si>
  <si>
    <t xml:space="preserve">C248</t>
  </si>
  <si>
    <t xml:space="preserve">Brazil Cafe / Corretto / Coffee Culture Leh</t>
  </si>
  <si>
    <t xml:space="preserve">'Cafe Culture Ladakh' (Zangsti Rd area): 'freshly roasted' coffee from 7 am.</t>
  </si>
  <si>
    <t xml:space="preserve">High on Tripadvisor Leh coffee lists.</t>
  </si>
  <si>
    <t xml:space="preserve">Seasonal; blend.</t>
  </si>
  <si>
    <t xml:space="preserve">https://www.tripadvisor.in/Restaurants-g297625-zfg9900-Leh_Leh_District_Ladakh.html</t>
  </si>
  <si>
    <t xml:space="preserve">Wave 4b: Brazil Cafe and Corretto not found.</t>
  </si>
  <si>
    <t xml:space="preserve">C249</t>
  </si>
  <si>
    <t xml:space="preserve">Specialty Coffee House</t>
  </si>
  <si>
    <t xml:space="preserve">Guest bag rotation.</t>
  </si>
  <si>
    <t xml:space="preserve">Multi-roaster: pitch a guest slot — 1 kg bags, story card (farm, altitude, process, cup score), roast date within 7 days.</t>
  </si>
  <si>
    <t xml:space="preserve">Instagram bio: 'Multi-Roaster' cafe serving specialty coffee, matcha, sandwiches.</t>
  </si>
  <si>
    <t xml:space="preserve">Multi-roaster — guest bags.</t>
  </si>
  <si>
    <t xml:space="preserve">@specialtycoffeehouseindia</t>
  </si>
  <si>
    <t xml:space="preserve">https://www.instagram.com/specialtycoffeehouseindia/</t>
  </si>
  <si>
    <t xml:space="preserve">City not confirmed Wave 4: city still unknown; no listing found beyond the Instagram bio.</t>
  </si>
  <si>
    <t xml:space="preserve">C251</t>
  </si>
  <si>
    <t xml:space="preserve">Kulture — Specialty Coffee &amp; Bistro</t>
  </si>
  <si>
    <t xml:space="preserve">Gate 1, 3rd Fl, Chowringhee Mansion, 30 JL Nehru Rd</t>
  </si>
  <si>
    <t xml:space="preserve">'Craft Your Coffee' bar of single-origin Indian coffees (pour-over/espresso) + barista workshops; Ethiopian Yirgacheffe showcased.</t>
  </si>
  <si>
    <t xml:space="preserve">₹1,000–1,500 for two</t>
  </si>
  <si>
    <t xml:space="preserve">Showcase origin is imported (Ethiopia).</t>
  </si>
  <si>
    <t xml:space="preserve">Fruit-forward Indian naturals as an 'Indian answer to Yirgacheffe'; co-host a workshop.</t>
  </si>
  <si>
    <t xml:space="preserve">Founder Subham Das — co-hosted cupping / workshop at Chowringhee Mansion.</t>
  </si>
  <si>
    <t xml:space="preserve">4.8; known for single-origin pour-overs; hours 8:30am–10:30pm.</t>
  </si>
  <si>
    <t xml:space="preserve">Serves international single origins — pitch Indian estates as premium alternates.</t>
  </si>
  <si>
    <t xml:space="preserve">@kulture_coffee</t>
  </si>
  <si>
    <t xml:space="preserve">https://www.instagram.com/kulture_coffee/</t>
  </si>
  <si>
    <t xml:space="preserve">+91 94480 40531 (Facebook listing)</t>
  </si>
  <si>
    <t xml:space="preserve">https://www.zomato.com/kolkata/kulture-specialty-coffee-bistro-park-street-area</t>
  </si>
  <si>
    <t xml:space="preserve">Subham Das (founder)</t>
  </si>
  <si>
    <t xml:space="preserve">https://t2online.in/goodlife/food-beverage/t2-gets-you-the-first-look-of-kulture-specialty-coffee-bistro-the-new-dine-den-in-town/1462233</t>
  </si>
  <si>
    <t xml:space="preserve">Indian origins/estates: Chikmagalur; Processes / format: Single origin, Experimental lot, Single estate, Washed; Brew: Pour over, V60, Affogato, Cold brew; ₹1500 for two</t>
  </si>
  <si>
    <t xml:space="preserve">+91 94480 40531 · +91 88220 22696</t>
  </si>
  <si>
    <t xml:space="preserve">4 of 5 read: https://www.district.in/dining/kolkata/kulture-speciality-coffee-park-street-area https://www.district.in/events/craft-your-coffee-kulture-nov23-2025-buy-tickets https://t2online.in/goodlife/food-beverage/t2-gets-you-the-first-look-of-kulture-specialty-coffee-bistro-the-new-dine-den-in-town/1462233 https://www.district.in/blog/speciality-coffee-places-kolkata</t>
  </si>
  <si>
    <t xml:space="preserve">C252</t>
  </si>
  <si>
    <t xml:space="preserve">Artsy — Coffee &amp; Culture</t>
  </si>
  <si>
    <t xml:space="preserve">By-lane off AJC Bose Rd, Minto Park (since 2017)</t>
  </si>
  <si>
    <t xml:space="preserve">Farm-to-cup coffees with roasts from Blue Tokai and Bili Hu (its own website); Goodwyn teas.</t>
  </si>
  <si>
    <t xml:space="preserve">Blue Tokai + Bili Hu</t>
  </si>
  <si>
    <t xml:space="preserve">Already uses two outside roasters — pitch a third, rotating single estate.</t>
  </si>
  <si>
    <t xml:space="preserve">Specialty coffee, fresh food and art. Wave 4: its own website says it brews with roasts from Blue Tokai and Bili Hu.</t>
  </si>
  <si>
    <t xml:space="preserve">https://www.artsyinkolkata.com/</t>
  </si>
  <si>
    <t xml:space="preserve">marketing@artsyinkolkata.com</t>
  </si>
  <si>
    <t xml:space="preserve">Manjyot Kaur &amp; Arshdeep Singh (mother-son founders)</t>
  </si>
  <si>
    <t xml:space="preserve">Roasters named on its own pages: Bili Hu, Blue Tokai Coffee Roasters; Processes / format: Washed; Varietals: Robusta; Brew: Pour over, AeroPress, French press, Cold brew</t>
  </si>
  <si>
    <t xml:space="preserve">marketing@artsyinkolkata.com · +91 91635 53395</t>
  </si>
  <si>
    <t xml:space="preserve">5 of 6 read: https://www.artsyinkolkata.com/ https://www.artsyinkolkata.com/partnerships https://www.artsyinkolkata.com/about-us https://rootsandleisure.com/artsy-cafe-kolkata/</t>
  </si>
  <si>
    <t xml:space="preserve">C253</t>
  </si>
  <si>
    <t xml:space="preserve">COLAB Artisanal Coffee</t>
  </si>
  <si>
    <t xml:space="preserve">Prince Anwar Shah Rd, Lake Gardens + Desapriya Park</t>
  </si>
  <si>
    <t xml:space="preserve">Direct-from-farm organic coffees; pour-over; in-house vegan milk.</t>
  </si>
  <si>
    <t xml:space="preserve">Not published (sources organically, direct from farmers)</t>
  </si>
  <si>
    <t xml:space="preserve">Instagram: 'brewing artisanal coffee'.</t>
  </si>
  <si>
    <t xml:space="preserve">@colabcoffeecalcutta</t>
  </si>
  <si>
    <t xml:space="preserve">https://www.instagram.com/colabcoffeecalcutta/</t>
  </si>
  <si>
    <t xml:space="preserve">Vinay Manglani &amp; Natasha Suri</t>
  </si>
  <si>
    <t xml:space="preserve">1 of 4 read: https://curlytales.com/colab-is-a-cosy-hideout-in-kolkata-for-artisanal-coffees-stuffed-buns-and-pancakes</t>
  </si>
  <si>
    <t xml:space="preserve">C254</t>
  </si>
  <si>
    <t xml:space="preserve">Cafe Captain Americano</t>
  </si>
  <si>
    <t xml:space="preserve">Kalighat, Kolkata (opened 29 Sep 2024) + original in Dimapur, Nagaland (2023)</t>
  </si>
  <si>
    <t xml:space="preserve">Naga-themed cafe; iced Vietnamese, hazelnut iced latte; Times Food 'Noteworthy Newcomer' 2024-25.</t>
  </si>
  <si>
    <t xml:space="preserve">Nagaland single-origin lots to anchor the Naga story.</t>
  </si>
  <si>
    <t xml:space="preserve">Times Food &amp; Nightlife 2025 'Noteworthy Newcomer Cafe'.</t>
  </si>
  <si>
    <t xml:space="preserve">NE-origin story — pitch your estates.</t>
  </si>
  <si>
    <t xml:space="preserve">@cafecaptainamericano</t>
  </si>
  <si>
    <t xml:space="preserve">https://www.instagram.com/cafecaptainamericano/</t>
  </si>
  <si>
    <t xml:space="preserve">Indian origins/estates: Nagaland; Imported origins: Vietnam</t>
  </si>
  <si>
    <t xml:space="preserve">3 of 3 read: https://curlytales.com/kolkata-gets-its-first-naga-cafe-serving-freshly-brewed-coffee-and-naga-specialities-like-ocean-latte-pork-rice-bowl-and-more https://morungexpress.com/nagalands-caf-captain-americano-among-times-food-nightlife-award-winners https://www.leadstal.com/sb/cafe-captain-americano</t>
  </si>
  <si>
    <t xml:space="preserve">C255</t>
  </si>
  <si>
    <t xml:space="preserve">Amari Coffee — New Town</t>
  </si>
  <si>
    <t xml:space="preserve">New Town</t>
  </si>
  <si>
    <t xml:space="preserve">Specialty cafe with artisanal bakery (Instagram).</t>
  </si>
  <si>
    <t xml:space="preserve">Estate espresso.</t>
  </si>
  <si>
    <t xml:space="preserve">@amaricoffeenewtown</t>
  </si>
  <si>
    <t xml:space="preserve">https://www.instagram.com/amaricoffeenewtown/</t>
  </si>
  <si>
    <t xml:space="preserve">C256</t>
  </si>
  <si>
    <t xml:space="preserve">Cafe 108</t>
  </si>
  <si>
    <t xml:space="preserve">Tangra</t>
  </si>
  <si>
    <t xml:space="preserve">Appointment-only coffee shop.</t>
  </si>
  <si>
    <t xml:space="preserve">Connoisseur niche — micro-lots.</t>
  </si>
  <si>
    <t xml:space="preserve">https://www.cosmopolitan.in/life/features/story/forget-your-usual-cappuccino-these-are-the-coffee-orders-worth-switching-things-up-for-1436793-2026-08-13</t>
  </si>
  <si>
    <t xml:space="preserve">C257</t>
  </si>
  <si>
    <t xml:space="preserve">Line Up Coffee — New Town</t>
  </si>
  <si>
    <t xml:space="preserve">Instagram: specialty coffee + gourmet sandwiches &amp; waffles, dog-friendly.</t>
  </si>
  <si>
    <t xml:space="preserve">@lineupcoffee_newtown</t>
  </si>
  <si>
    <t xml:space="preserve">https://www.instagram.com/lineupcoffee_newtown/</t>
  </si>
  <si>
    <t xml:space="preserve">C258</t>
  </si>
  <si>
    <t xml:space="preserve">Cafe82</t>
  </si>
  <si>
    <t xml:space="preserve">Salt Lake CJ-26 Sec 2 + Pankaj Mullick Sarani, Ballygunge</t>
  </si>
  <si>
    <t xml:space="preserve">Coffee and desserts; EazyDiner 4.6 (271) for Ballygunge; one reviewer calls it more hookah lounge than cafe.</t>
  </si>
  <si>
    <t xml:space="preserve">Cafe + barbershop concept, 11am–1am (Instagram).</t>
  </si>
  <si>
    <t xml:space="preserve">@cafe82kolkata</t>
  </si>
  <si>
    <t xml:space="preserve">https://www.instagram.com/cafe82kolkata/</t>
  </si>
  <si>
    <t xml:space="preserve">₹ 900 for two</t>
  </si>
  <si>
    <t xml:space="preserve">1 of 2 read: https://www.eazydiner.com/kolkata/cafe-82-ballygunge-kolkata-699730</t>
  </si>
  <si>
    <t xml:space="preserve">C259</t>
  </si>
  <si>
    <t xml:space="preserve">PICO — Pizzeria &amp; Coffee Bar</t>
  </si>
  <si>
    <t xml:space="preserve">Southern Avenue + Salt Lake</t>
  </si>
  <si>
    <t xml:space="preserve">Yes — roasts 100% Arabica on-site (Telegraph)</t>
  </si>
  <si>
    <t xml:space="preserve">Roasts on-site; pour-overs, cortados, cold brews; rose-popcorn latte, basil coffee.</t>
  </si>
  <si>
    <t xml:space="preserve">Green coffee / guest micro-lot for their roaster.</t>
  </si>
  <si>
    <t xml:space="preserve">They roast: pitch green lots.</t>
  </si>
  <si>
    <t xml:space="preserve">Artisanal specialty coffee (own site).</t>
  </si>
  <si>
    <t xml:space="preserve">Two outlets — blend.</t>
  </si>
  <si>
    <t xml:space="preserve">https://www.picokolkata.com/</t>
  </si>
  <si>
    <t xml:space="preserve">info@picokolkata.com</t>
  </si>
  <si>
    <t xml:space="preserve">Prateek Didwania (founder)</t>
  </si>
  <si>
    <t xml:space="preserve">Indian origins/estates: Chikmagalur, Shevaroys / Yercaud, Sakleshpur, Ratnagiri Estate; Imported origins: Vietnam; Processes / format: Anaerobic, Experimental lot, Single origin, Single estate, Washed; Brew: Cold brew, Pour over, Affogato, Cold drip / Kyoto; ₹1200 for two; Signals: Retail beans, Now open</t>
  </si>
  <si>
    <t xml:space="preserve">info@picokolkata.com · +91 82409 12328 · +91 74399 12328</t>
  </si>
  <si>
    <t xml:space="preserve">5 of 7 read: https://www.picokolkata.com/ https://www.picokolkata.com/about-us https://www.picokolkata.com/contact-us https://wanderlog.com/place/details/11654899/pico-pizzeria--coffee-bar</t>
  </si>
  <si>
    <t xml:space="preserve">C261</t>
  </si>
  <si>
    <t xml:space="preserve">8th Day Cafe &amp; Bakery</t>
  </si>
  <si>
    <t xml:space="preserve">AJC Bose Rd, Southern Ave, Salt Lake FE Block, Ballygunge Place, New Town, Mani Casadona</t>
  </si>
  <si>
    <t xml:space="preserve">Yes — New Town outlet has an in-house roastery visible to guests</t>
  </si>
  <si>
    <t xml:space="preserve">Hand-drip pour-over; circular coffee bar; 6 outlets.</t>
  </si>
  <si>
    <t xml:space="preserve">Roasts own.</t>
  </si>
  <si>
    <t xml:space="preserve">Green or guest micro-lot collaboration only.</t>
  </si>
  <si>
    <t xml:space="preserve">Pitch green-coffee or limited guest lots.</t>
  </si>
  <si>
    <t xml:space="preserve">Credited as early pioneer of specialty coffee in Kolkata; hand-drip pour-over. Instagram: 'Voted Best Coffee and Best American Cafe in Kolkata'; 6 outlets. Wave 4: fifth Kolkata outlet opened in New Town (~120 seats).</t>
  </si>
  <si>
    <t xml:space="preserve">Six outlets — one supply deal covers a mini-chain.</t>
  </si>
  <si>
    <t xml:space="preserve">@8thdaycafe</t>
  </si>
  <si>
    <t xml:space="preserve">https://www.instagram.com/8thdaycafe/</t>
  </si>
  <si>
    <t xml:space="preserve">https://t2online.in/goodlife/food-beverage/8th-day-caf----bakery-brews-big-in-new-town-with-its-fifth-kolkata-outlet/2003182</t>
  </si>
  <si>
    <t xml:space="preserve">Brew: Pour over, Chemex, Siphon, Affogato</t>
  </si>
  <si>
    <t xml:space="preserve">1 of 1 read: https://t2online.in/goodlife/food-beverage/8th-day-caf----bakery-brews-big-in-new-town-with-its-fifth-kolkata-outlet/2003182</t>
  </si>
  <si>
    <t xml:space="preserve">C262</t>
  </si>
  <si>
    <t xml:space="preserve">TheCoffeeShop — Siliguri</t>
  </si>
  <si>
    <t xml:space="preserve">Siliguri</t>
  </si>
  <si>
    <t xml:space="preserve">Vega Circle Mall, Bhaktinagar</t>
  </si>
  <si>
    <t xml:space="preserve">Coffee, pizza and bakery cafe; cafe mocha, cinnamon coffee; 4.0 (191) — no specialty signals.</t>
  </si>
  <si>
    <t xml:space="preserve">Coffee + Italian + live music (Instagram).</t>
  </si>
  <si>
    <t xml:space="preserve">@thecoffeeshop.slg</t>
  </si>
  <si>
    <t xml:space="preserve">https://www.instagram.com/thecoffeeshop.slg/</t>
  </si>
  <si>
    <t xml:space="preserve">C263</t>
  </si>
  <si>
    <t xml:space="preserve">Kruti Coffee</t>
  </si>
  <si>
    <t xml:space="preserve">Odisha</t>
  </si>
  <si>
    <t xml:space="preserve">Bhubaneswar</t>
  </si>
  <si>
    <t xml:space="preserve">Patia (Nandankanan Rd) + Nayapalli (IRC Village)</t>
  </si>
  <si>
    <t xml:space="preserve">Yes — roastery in Patia; own estate in Koraput</t>
  </si>
  <si>
    <t xml:space="preserve">Siphon, AeroPress, pour-over from its own Koraput estate; exporting to the UK (India-UK CETA), London store planned.</t>
  </si>
  <si>
    <t xml:space="preserve">Own roastery + own Koraput estate</t>
  </si>
  <si>
    <t xml:space="preserve">Complementary non-Odisha green lots.</t>
  </si>
  <si>
    <t xml:space="preserve">Producer-roaster: a partnership/trade lead, not a buyer of roasted coffee.</t>
  </si>
  <si>
    <t xml:space="preserve">Specialty shop popular for its brewing methods (Restaurant Guru Mar 2026).</t>
  </si>
  <si>
    <t xml:space="preserve">Bhubaneswar specialty lead.</t>
  </si>
  <si>
    <t xml:space="preserve">https://restaurant-guru.in/cafe-Bhubaneswar-t6</t>
  </si>
  <si>
    <t xml:space="preserve">Indian origins/estates: Koraput; Imported origins: Vietnam, Colombia, Guatemala; Processes / format: Micro-lot; Brew: Pour over; Commodity brands: Starbucks; Prices: or two at Kruti Coffee? The cost of two at Kruti Coffee is ₹ 600. You can save EXTRA; ₹ 600 for two; Signals: Wholesale / cafe partners</t>
  </si>
  <si>
    <t xml:space="preserve">5 of 5 read: https://www.eazydiner.com/bhubaneswar/kruti-coffee-nandankanan-road-bhubaneswar-707382 https://restaurant-guru.in/cafe-Bhubaneswar-t6 https://www.worldcoffeeportal.com/news/kruti-coffee-wants-to-raise-the-profile-indian-specialty-coffee-in-the-uk/ https://odishabytes.com/kruti-coffee-the-cultural-cafe/amp</t>
  </si>
  <si>
    <t xml:space="preserve">C264</t>
  </si>
  <si>
    <t xml:space="preserve">Cafe 13</t>
  </si>
  <si>
    <t xml:space="preserve">Bihar</t>
  </si>
  <si>
    <t xml:space="preserve">Patna</t>
  </si>
  <si>
    <t xml:space="preserve">1st floor, Surya Crystal, Boring Rd</t>
  </si>
  <si>
    <t xml:space="preserve">Handcrafted coffees, frappes and shakes; swings and chalkboard decor.</t>
  </si>
  <si>
    <t xml:space="preserve">Waffle &amp; coffee bar; 4.2 from ~4k reviews.</t>
  </si>
  <si>
    <t xml:space="preserve">@cafe13patna</t>
  </si>
  <si>
    <t xml:space="preserve">https://www.instagram.com/cafe13patna/</t>
  </si>
  <si>
    <t xml:space="preserve">+91 95255 66665 (alwaysdial)</t>
  </si>
  <si>
    <t xml:space="preserve">2 of 2 read: https://wanderlog.com/place/details/2849923 https://www.eazydiner.com/food-trends/restaurant-spotlight-cafe-13-boring-road-patna</t>
  </si>
  <si>
    <t xml:space="preserve">C265</t>
  </si>
  <si>
    <t xml:space="preserve">Cafe Hideout</t>
  </si>
  <si>
    <t xml:space="preserve">Sabzibagh</t>
  </si>
  <si>
    <t xml:space="preserve">Pulled lists it as a specialty coffee shop.</t>
  </si>
  <si>
    <t xml:space="preserve">https://www.pulled.coffee/shop/cafe-hideout-patna-5</t>
  </si>
  <si>
    <t xml:space="preserve">C267</t>
  </si>
  <si>
    <t xml:space="preserve">11th Avenue Cafe &amp; Bistro</t>
  </si>
  <si>
    <t xml:space="preserve">Tayabulla Road, Digholi Pukhuri</t>
  </si>
  <si>
    <t xml:space="preserve">Dark-roast Indian estate Arabica; Vietnamese cold coffee; popular with a young crowd.</t>
  </si>
  <si>
    <t xml:space="preserve">EazyDiner 4.1 (~1.3K)</t>
  </si>
  <si>
    <t xml:space="preserve">Serves Indian estate-origin arabica (2026 listing).</t>
  </si>
  <si>
    <t xml:space="preserve">Upgrade to lighter single estates.</t>
  </si>
  <si>
    <t xml:space="preserve">https://yappe.in/assam/guwahati/coffee-shop</t>
  </si>
  <si>
    <t xml:space="preserve">Wave 4b: EazyDiner lists it in Chandmari; the earlier source says Tayabulla Rd — confirm the outlet.</t>
  </si>
  <si>
    <t xml:space="preserve">4 of 6 read: https://www.eazydiner.com/guwahati/11th-avenue-cafe-bistro-chandmari-guwahati-695932 https://yappe.in/assam/guwahati/coffee-shop https://wanderlog.com/place/details/2849378 https://eastmojo.com/news/2020/11/18/cuppa-nirvana-if-coffee-is-your-fix-these-five-guwahati-cafes-are-a-must-for-you/</t>
  </si>
  <si>
    <t xml:space="preserve">C268</t>
  </si>
  <si>
    <t xml:space="preserve">The Bean Journal Boutique Cafe</t>
  </si>
  <si>
    <t xml:space="preserve">50 Lamb Rd, Uzan Bazar</t>
  </si>
  <si>
    <t xml:space="preserve">Boutique cafe with a Mediterranean food menu; coffee not published.</t>
  </si>
  <si>
    <t xml:space="preserve">₹600+ for two</t>
  </si>
  <si>
    <t xml:space="preserve">Boutique coffee cafe (Yappe).</t>
  </si>
  <si>
    <t xml:space="preserve">+91 97066 55295 (Wanderlog / Zeezest)</t>
  </si>
  <si>
    <t xml:space="preserve">3 of 4 read: https://yappe.in/assam/guwahati/coffee-shop https://wanderlog.com/place/details/3064314/the-bean-journal-boutique-café https://www.outlooktraveller.com/experiences/food-and-drink/6-best-places-to-eat-in-guwahati</t>
  </si>
  <si>
    <t xml:space="preserve">C269</t>
  </si>
  <si>
    <t xml:space="preserve">Black Art Coffee</t>
  </si>
  <si>
    <t xml:space="preserve">2nd floor, Divine Tower, Shantipur, Bharalumukh</t>
  </si>
  <si>
    <t xml:space="preserve">Third-wave cafe (Feb 2020): 100% Arabica 'exclusively from Chikmagalur', brewed manually — pour-over, AeroPress, cold brew; best sellers AeroPress cold brew, Vietnamese coffee, honey latte; Brahmaputra view; 4.6 (355).</t>
  </si>
  <si>
    <t xml:space="preserve">Not published (Chikmagalur Arabica)</t>
  </si>
  <si>
    <t xml:space="preserve">Chikmagalur only; no Northeast or other-region estate.</t>
  </si>
  <si>
    <t xml:space="preserve">A Northeast single origin and a second-region estate for the pour-over bar.</t>
  </si>
  <si>
    <t xml:space="preserve">Manual-brew-led: pitch a rotating single estate for pour-over plus a Northeast-origin lot.</t>
  </si>
  <si>
    <t xml:space="preserve">Founder set out to bring third-wave coffee to Guwahati (EastMojo, Aug 2020).</t>
  </si>
  <si>
    <t xml:space="preserve">+91 99572 23710 (Yappe)</t>
  </si>
  <si>
    <t xml:space="preserve">Gitartha Goswami (founder)</t>
  </si>
  <si>
    <t xml:space="preserve">https://eastmojo.com/lifestyle/2020/08/31/black-art-coffee-in-guwahati-celebrating-art-one-cup-at-a-time/</t>
  </si>
  <si>
    <t xml:space="preserve">Sources are from 2020 plus a directory listing — confirm the current menu.</t>
  </si>
  <si>
    <t xml:space="preserve">Indian origins/estates: Chikmagalur, Karnataka; Imported origins: Vietnam; Brew: AeroPress, Cold brew, Pour over; Commodity brands: Starbucks; Prices: still enjoy a delicious meal with coffee for two people at Rs 500, which is a cheap p</t>
  </si>
  <si>
    <t xml:space="preserve">3 of 3 read: https://eastmojo.com/lifestyle/2020/08/31/black-art-coffee-in-guwahati-celebrating-art-one-cup-at-a-time/ https://yappe.in/assam/guwahati/black-art-coffee/2079700 https://eastmojo.com/news/2020/11/18/cuppa-nirvana-if-coffee-is-your-fix-these-five-guwahati-cafes-are-a-must-for-you/</t>
  </si>
  <si>
    <t xml:space="preserve">C271</t>
  </si>
  <si>
    <t xml:space="preserve">Cherry Bean Cafe</t>
  </si>
  <si>
    <t xml:space="preserve">Meghalaya</t>
  </si>
  <si>
    <t xml:space="preserve">Shillong</t>
  </si>
  <si>
    <t xml:space="preserve">GS Rd, opp. Broadway Hotel, Police Bazar (spelled 'Cherrry Bean Café')</t>
  </si>
  <si>
    <t xml:space="preserve">'Specialty coffee' cafe opened 2023; national press when actor Rajkummar Rao visited (Curly Tales).</t>
  </si>
  <si>
    <t xml:space="preserve">₹500–1,000 for two</t>
  </si>
  <si>
    <t xml:space="preserve">Small, owner-run and press-friendly: pitch a Northeast single origin with a story card for the bar.</t>
  </si>
  <si>
    <t xml:space="preserve">Repeated praise for lattes and brewing (wanderon 2026).</t>
  </si>
  <si>
    <t xml:space="preserve">Agnish Paul (owner)</t>
  </si>
  <si>
    <t xml:space="preserve">https://curlytales.com/rajkummar-rao-spotted-at-a-cosy-shillong-cafe-its-specialty-coffee-is-worth-a-trip-to-meghalaya/</t>
  </si>
  <si>
    <t xml:space="preserve">1 of 5 read: https://www.district.in/dining/shillong/cherrry-bean-café-police-bazaar</t>
  </si>
  <si>
    <t xml:space="preserve">C272</t>
  </si>
  <si>
    <t xml:space="preserve">ML 05 Cafe</t>
  </si>
  <si>
    <t xml:space="preserve">Laitumkhrah</t>
  </si>
  <si>
    <t xml:space="preserve">Biker-themed cafe; coffee reviews mixed.</t>
  </si>
  <si>
    <t xml:space="preserve">Reach it through the Hotel Polo Towers group (hotel + several cafes) rather than the cafe alone.</t>
  </si>
  <si>
    <t xml:space="preserve">Specialty pour-over and espresso ~₹150–220 (aggregator). Wave 4b: one of the Hotel Polo Towers group's cafes (its website).</t>
  </si>
  <si>
    <t xml:space="preserve">Shillong specialty lead.</t>
  </si>
  <si>
    <t xml:space="preserve">https://www.hotelpolotowers.com/our-cafes/ml-05.html</t>
  </si>
  <si>
    <t xml:space="preserve">https://xtsy.one/cafes-in-shillong</t>
  </si>
  <si>
    <t xml:space="preserve">Single aggregator source</t>
  </si>
  <si>
    <t xml:space="preserve">Brew: Pour over, South Indian filter, Flat white; Prices: ✓ ML 05 Café, Laitumkhrah — specialty pour-over &amp; espresso, ₹150–220 | ✓ TAB Bistro by XTSY, New Shillong Township — forest-side café, coffee ₹100–180, 9 AM–10:30 PM | ✓ Kavya Café, Police Bazar — budget-friendly filter coffee and quick breakfasts under ₹150; ₹ 900 for two</t>
  </si>
  <si>
    <t xml:space="preserve">3 of 4 read: https://www.eazydiner.com/shillong/ml-05-cafe-east-khasi-hill-shillong-696936 https://xtsy.one/cafes-in-shillong https://wanderlog.com/place/details/851004/ml-05-cafe</t>
  </si>
  <si>
    <t xml:space="preserve">C273</t>
  </si>
  <si>
    <t xml:space="preserve">Bisauni — Gangtok Speciality Coffee Shop</t>
  </si>
  <si>
    <t xml:space="preserve">Sikkim</t>
  </si>
  <si>
    <t xml:space="preserve">Gangtok</t>
  </si>
  <si>
    <t xml:space="preserve">Instagram: Sikkim lifestyle cultural cafe serving specialty coffee and health drinks.</t>
  </si>
  <si>
    <t xml:space="preserve">Gangtok's specialty lead.</t>
  </si>
  <si>
    <t xml:space="preserve">@bisaunigangtok</t>
  </si>
  <si>
    <t xml:space="preserve">https://www.instagram.com/bisaunigangtok/</t>
  </si>
  <si>
    <t xml:space="preserve">C274</t>
  </si>
  <si>
    <t xml:space="preserve">Rolling Bean Cafe</t>
  </si>
  <si>
    <t xml:space="preserve">Specialty shop offering single-origin coffees.</t>
  </si>
  <si>
    <t xml:space="preserve">Gangtok specialty lead.</t>
  </si>
  <si>
    <t xml:space="preserve">https://travelsetu.com/apps/blog/coffee-culture-in-gangtok-best-cafes-to-visit</t>
  </si>
  <si>
    <t xml:space="preserve">Not found on Instagram — Bisauni (@bisaunigangtok) is the confirmed Gangtok specialty shop Wave 4: not found in a web search beyond its source roundup — confirm it is open (Instagram / Google Maps) before outreach.</t>
  </si>
  <si>
    <t xml:space="preserve">Processes / format: Single origin; Brew: Pour over, AeroPress, French press, Cold brew</t>
  </si>
  <si>
    <t xml:space="preserve">1 of 2 read: https://travelsetu.com/apps/blog/coffee-culture-in-gangtok-best-cafes-to-visit</t>
  </si>
  <si>
    <t xml:space="preserve">C275</t>
  </si>
  <si>
    <t xml:space="preserve">The Coffee Shop — Gangtok</t>
  </si>
  <si>
    <t xml:space="preserve">MG Marg (deck over MG Marg)</t>
  </si>
  <si>
    <t xml:space="preserve">Cappuccino, Swiss hot chocolate; known for its MG Marg deck.</t>
  </si>
  <si>
    <t xml:space="preserve">Coffee + Italian food since 2013; 'Best Cafe of the Year 2023' (self-reported).</t>
  </si>
  <si>
    <t xml:space="preserve">@thecoffeeshop.gtk</t>
  </si>
  <si>
    <t xml:space="preserve">https://www.instagram.com/thecoffeeshop.gtk/</t>
  </si>
  <si>
    <t xml:space="preserve">Brew: Cortado</t>
  </si>
  <si>
    <t xml:space="preserve">2 of 2 read: https://wanderlog.com/place/details/1139067/the-coffee-shop https://eastmojo.com/sikkim/2021/04/20/gangtoks-best-coffee-spots-where-to-get-your-caffeine-hit/</t>
  </si>
  <si>
    <t xml:space="preserve">C276</t>
  </si>
  <si>
    <t xml:space="preserve">Naga Coffee Express</t>
  </si>
  <si>
    <t xml:space="preserve">Nagaland</t>
  </si>
  <si>
    <t xml:space="preserve">Dimapur</t>
  </si>
  <si>
    <t xml:space="preserve">NMM Building, 316 Fellowship Colony</t>
  </si>
  <si>
    <t xml:space="preserve">Coffee shop, Mon–Sat 11am–8pm.</t>
  </si>
  <si>
    <t xml:space="preserve">Local coffee culture.</t>
  </si>
  <si>
    <t xml:space="preserve">@nagacoffeeexpress</t>
  </si>
  <si>
    <t xml:space="preserve">https://www.instagram.com/nagacoffeeexpress/</t>
  </si>
  <si>
    <t xml:space="preserve">Wave 4: not found; Dimapur's Nagaland Coffee shop (Naga Coffee Pvt Ltd) and Shiro Roastery are the known specialty names.</t>
  </si>
  <si>
    <t xml:space="preserve">C277</t>
  </si>
  <si>
    <t xml:space="preserve">14 Beans Cafe</t>
  </si>
  <si>
    <t xml:space="preserve">Mizoram</t>
  </si>
  <si>
    <t xml:space="preserve">Aizawl</t>
  </si>
  <si>
    <t xml:space="preserve">College Veng, near the taxi stand / SBI ATM</t>
  </si>
  <si>
    <t xml:space="preserve">Plant-filled cafe with valley views; global menu (lamington, avocado toast); coffee not detailed.</t>
  </si>
  <si>
    <t xml:space="preserve">Specialty espresso drinks, valley views (2026 guide). Wave 4b: featured by Curly Tales (chef Sarah Todd) and India Today NE's 'cool cafes' (Oct 2024).</t>
  </si>
  <si>
    <t xml:space="preserve">https://oddessemania.in/best-cafes-in-aizawl/</t>
  </si>
  <si>
    <t xml:space="preserve">Indian origins/estates: Mizoram; ₹600 for two; Signals: Wholesale / cafe partners</t>
  </si>
  <si>
    <t xml:space="preserve">1 of 4 read: https://oddessemania.in/best-cafes-in-aizawl/</t>
  </si>
  <si>
    <t xml:space="preserve">C278</t>
  </si>
  <si>
    <t xml:space="preserve">Aizawl Coffee House</t>
  </si>
  <si>
    <t xml:space="preserve">Coffee house, closed Sundays (Instagram).</t>
  </si>
  <si>
    <t xml:space="preserve">@aizawl.coffee.house</t>
  </si>
  <si>
    <t xml:space="preserve">https://www.instagram.com/aizawl.coffee.house/</t>
  </si>
  <si>
    <t xml:space="preserve">Indian origins/estates: Mizoram</t>
  </si>
  <si>
    <t xml:space="preserve">1 of 2 read: https://eastmojo.com/top-news/2024/12/10/mizoram-gets-northeast-indias-first-coffee-experience-centre/</t>
  </si>
  <si>
    <t xml:space="preserve">C279</t>
  </si>
  <si>
    <t xml:space="preserve">books and coffee</t>
  </si>
  <si>
    <t xml:space="preserve">Manipur</t>
  </si>
  <si>
    <t xml:space="preserve">Imphal</t>
  </si>
  <si>
    <t xml:space="preserve">Indo-Myanmar Rd, Makha Leirak</t>
  </si>
  <si>
    <t xml:space="preserve">Bookstore-cafe since 2013: rental bookstore on the ground floor, cafe upstairs (3 floors); 4.1 (785).</t>
  </si>
  <si>
    <t xml:space="preserve">Bookshop + coffee (Instagram).</t>
  </si>
  <si>
    <t xml:space="preserve">@booksandcoffee_imphal</t>
  </si>
  <si>
    <t xml:space="preserve">https://www.instagram.com/booksandcoffee_imphal/</t>
  </si>
  <si>
    <t xml:space="preserve">+91 97741 77130 (Yappe)</t>
  </si>
  <si>
    <t xml:space="preserve">Beeshantam Yumnam (founder)</t>
  </si>
  <si>
    <t xml:space="preserve">2 of 2 read: https://rootsandleisure.com/books-coffee-imphal-manipur/ https://yappe.in/manipur/imphal/books-coffee/52441</t>
  </si>
  <si>
    <t xml:space="preserve">C280</t>
  </si>
  <si>
    <t xml:space="preserve">Frespresso Agartala</t>
  </si>
  <si>
    <t xml:space="preserve">Tripura</t>
  </si>
  <si>
    <t xml:space="preserve">Agartala</t>
  </si>
  <si>
    <t xml:space="preserve">L.N. Bari Rd, near Ganaraj Chowmuhani</t>
  </si>
  <si>
    <t xml:space="preserve">Cosy cafe: coffee, pastries, sandwiches.</t>
  </si>
  <si>
    <t xml:space="preserve">Lounge cafe, 'first in Agartala' (Instagram).</t>
  </si>
  <si>
    <t xml:space="preserve">@frespresso.agt</t>
  </si>
  <si>
    <t xml:space="preserve">https://www.instagram.com/frespresso.agt/</t>
  </si>
  <si>
    <t xml:space="preserve">+91 98626 77602 (Trip.com)</t>
  </si>
  <si>
    <t xml:space="preserve">Wave 4b: may belong to the Frespresso coffee chain (it also runs an IIT-ISM Dhanbad outlet) — check.</t>
  </si>
  <si>
    <t xml:space="preserve">Cafe</t>
  </si>
  <si>
    <t xml:space="preserve">Roaster named</t>
  </si>
  <si>
    <t xml:space="preserve">How it was found</t>
  </si>
  <si>
    <t xml:space="preserve">Checked by hand</t>
  </si>
  <si>
    <t xml:space="preserve">Snippet</t>
  </si>
  <si>
    <t xml:space="preserve">Page</t>
  </si>
  <si>
    <t xml:space="preserve">Bili Hu</t>
  </si>
  <si>
    <t xml:space="preserve">Named on the cafe's own pages / listing</t>
  </si>
  <si>
    <t xml:space="preserve">Confirmed — its own website says it brews Bili Hu</t>
  </si>
  <si>
    <t xml:space="preserve">onversations, And Cool Merch We brew with specialty roasts from Blue Tokai and Bili Hu to create smooth, rich flavors that stand out. Our mocha is a guest favorite fo</t>
  </si>
  <si>
    <t xml:space="preserve">Named in an article about the cafe</t>
  </si>
  <si>
    <t xml:space="preserve">r 2 years! They go best paired with our coffees. We offer farm to cup coffees with roasts from Blue Tokai and Bili Hu and teas from Goodwyn Tea. We pride ourselves on keeping things as natural and organic as possible!” Dark Ch</t>
  </si>
  <si>
    <t xml:space="preserve">https://rootsandleisure.com/artsy-cafe-kolkata/</t>
  </si>
  <si>
    <t xml:space="preserve">Blue Tokai Coffee Roasters</t>
  </si>
  <si>
    <t xml:space="preserve">Confirmed — its own website says it brews Blue Tokai</t>
  </si>
  <si>
    <t xml:space="preserve">erch Coffee, Conversations, And Cool Merch We brew with specialty roasts from Blue Tokai and Bili Hu to create smooth, rich flavors that stand out. Our mocha is a guest</t>
  </si>
  <si>
    <t xml:space="preserve">ants through our 2 years! They go best paired with our coffees. We offer farm to cup coffees with roasts from Blue Tokai and Bili Hu and teas from Goodwyn Tea. We pride ourselves on keeping things as natural and organic as possibl</t>
  </si>
  <si>
    <t xml:space="preserve">Subko Coffee Roasters</t>
  </si>
  <si>
    <t xml:space="preserve">Confirmed — 'coffee program powered by collaborations like Subko'</t>
  </si>
  <si>
    <t xml:space="preserve">and a mix of vegetarian and vegan options that sit alongside a coffee program powered by collaborations like Subko .It features vinyl listening sessions and DJ-led record nights where selectors play across genres from jazz</t>
  </si>
  <si>
    <t xml:space="preserve">https://homegrown.co.in/homegrown-explore/beyond-open-mics-dj-sets-cafs-across-india-are-building-music-centric-communities</t>
  </si>
  <si>
    <t xml:space="preserve">Boojee Cafe &amp; Roastery</t>
  </si>
  <si>
    <t xml:space="preserve">Same company (Boojee roasts its own)</t>
  </si>
  <si>
    <t xml:space="preserve">you excited for Boojee’s new outlet? Cover Image Courtesy: Instagram/boojeecafe FAQs Who are the owners of Boojee cafe? Boojee Cafe was founded and is chef-owned by Rajdeep Singh Kukreja. Is Boojee Cafe Bandra expensive?</t>
  </si>
  <si>
    <t xml:space="preserve">https://curlytales.com/india/food/mumbaikars-boojee-cafe-is-coming-to-bkc-with-its-signature-brews-bites/</t>
  </si>
  <si>
    <t xml:space="preserve">Confirmed — 'roasts from Corridor Seven'</t>
  </si>
  <si>
    <t xml:space="preserve">r is perfect for a date night or a brunch date with your girls. Serving their blend of coffee and roasts from Corridor Seven Coffee Roasters, this cafe is best for a caffeine fix! With subtle and soothing interiors, this cafe has a me</t>
  </si>
  <si>
    <t xml:space="preserve">https://curlytales.com/every-coffee-lover-must-head-to-bouffage-cafe-in-nagpur</t>
  </si>
  <si>
    <t xml:space="preserve">Nandan Coffee</t>
  </si>
  <si>
    <t xml:space="preserve">Confirmed as a guest takeover (Oct 2025), not regular supply</t>
  </si>
  <si>
    <t xml:space="preserve">Select Location Search for events, movies and restaurants Nandan Coffee Takeover at Genre | Delhi Art Weekend Sat, 04 Oct 2025 - Sun, 05 Oct 2025 About Sip, savor, and celebrate as</t>
  </si>
  <si>
    <t xml:space="preserve">https://www.district.in/nandan-coffee-takeover-at-genre-delhi-art-weekend-oct5-2025/event</t>
  </si>
  <si>
    <t xml:space="preserve">G-Shot Coffee Roastery &amp; Cafe</t>
  </si>
  <si>
    <t xml:space="preserve">Not a supplier link — separate entries in a roundup</t>
  </si>
  <si>
    <t xml:space="preserve">taking in much anticipated weekly listening sessions and bar takeovers that are set to get you grooving! II. G-Shot Coffee Roastery &amp; Cafe With a ‘meditative approach to speciality coffee’, G-Shot aims to connect people with</t>
  </si>
  <si>
    <t xml:space="preserve">https://homegrown.co.in/homegrown-explore/listening-sessions-coffee-cocktails-how-goan-coffee-bars-are-blazing-a-trail</t>
  </si>
  <si>
    <t xml:space="preserve">Caarabi Coffee Roasters</t>
  </si>
  <si>
    <t xml:space="preserve">Confirmed — 'roasted by New Delhi's Caarabi Coffee'</t>
  </si>
  <si>
    <t xml:space="preserve">diroom is a beautiful space to learn about and taste Indian specialty coffee, which is roasted by New Delhi’s Caarabi Coffee. The menu offers a variety of your classic espresso-based drinks and slow bar options. Beans come fro</t>
  </si>
  <si>
    <t xml:space="preserve">https://www.baristamagazine.com/exploring-the-vibrant-specialty-coffee-culture-of-goa-india/</t>
  </si>
  <si>
    <t xml:space="preserve">Kaffa Coffee Roasters</t>
  </si>
  <si>
    <t xml:space="preserve">Same owner (Kaffa's own cafe)</t>
  </si>
  <si>
    <t xml:space="preserve">creating quite a buzz. This cafe was opened on November 10, 2025, owned by Anand Heena Thakkar, the owner of Kaffa Coffee Roasters, this place promises a unique experience for food lovers. As soon as you step in, you’ll be mesmerised by th</t>
  </si>
  <si>
    <t xml:space="preserve">Curious Life Coffee Roasters</t>
  </si>
  <si>
    <t xml:space="preserve">Not a supplier link — different city's entry in a roundup</t>
  </si>
  <si>
    <t xml:space="preserve">ractive museum with a planetarium and diamond gallery. The exterior of Curious Life Coffee Roasters. Credit: Curious Life Coffee Roasters 2. CURIOUS LIFE COFFEE ROASTERS The owner of Curious Life, Neeraj Sheoran, was a lieutenant</t>
  </si>
  <si>
    <t xml:space="preserve">Kokoro Coffee</t>
  </si>
  <si>
    <t xml:space="preserve">Confirmed — 'sources specialty beans from Kokoro Coffee and Kalledevarapura Estate'</t>
  </si>
  <si>
    <t xml:space="preserve">fect space to unwind and feel at home. Renowned for its coffee expertise, Mleko sources specialty beans from Kokoro Coffee and Kalledevarapura Estate in Karnataka. Employing state-of-the-art machinery, including a La Marzocco</t>
  </si>
  <si>
    <t xml:space="preserve">Roastery Cultur</t>
  </si>
  <si>
    <t xml:space="preserve">Not a supplier link — adjacent rows in a cafe list</t>
  </si>
  <si>
    <t xml:space="preserve">ODAKDEV solo work / small collaborative sessions Sandwich/quiche-led cafe, calm atmosphere Map ↗ Website ↗ Roastery Cultur BODAKDEV solo work / casual meetings Serene coffee cafe, seasonal menu Map ↗ Website ↗ Theka Coffee BODAKD</t>
  </si>
  <si>
    <t xml:space="preserve">https://echai.ventures/ahmedabad/cafes/sg-highway-west</t>
  </si>
  <si>
    <t xml:space="preserve">4689 SHIROPAGU Coffee Roasters</t>
  </si>
  <si>
    <t xml:space="preserve">Not a supplier link — two separate recommendations</t>
  </si>
  <si>
    <t xml:space="preserve">nd Bangali Tola. For serious coffee, we'd recommend Svas - Specialty Coffee, Matcha &amp; Bakes in Mahmoorganj or 4689 SHIROPAGU Coffee Roasters near Munshi Ghat. Svas specifically focuses on specialty coffee, matcha and artisanal bakes.</t>
  </si>
  <si>
    <t xml:space="preserve">Confirmed — reviewer: 'brewing with Blue Tokai beans'</t>
  </si>
  <si>
    <t xml:space="preserve">arch, and it was such a breath of fresh air. You genuinely understand what makes a café special. Brewing with Blue Tokai beans makes a noticeable difference—the coffee quality is truly outstanding. Paired with delicious food, a cu</t>
  </si>
  <si>
    <t xml:space="preserve">https://www.district.in/dining/ahmedabad/the-dark-roast-prahlad-nagar</t>
  </si>
  <si>
    <t xml:space="preserve">Confirmed — counter 'developed in collaboration with Subko'</t>
  </si>
  <si>
    <t xml:space="preserve">ee is obviously the nucleus here. ADVERTISEMENT The coffee counter has been developed in collaboration with Subko A coffee counter sits at its centre, designed to eventually moonlight as a bar. Brewing equipment sits along</t>
  </si>
  <si>
    <t xml:space="preserve">Confirmed — 'in collaboration with The Coffee Co'</t>
  </si>
  <si>
    <t xml:space="preserve">ed with a casual theme that encourages guests to relax and enjoy their time. The cafe in a collaboration with The Coffee Co as their coffee partner offers impressive selection of coffee beverages, including classics like Espresso, Ca</t>
  </si>
  <si>
    <t xml:space="preserve">Roaster</t>
  </si>
  <si>
    <t xml:space="preserve">Model / outlets</t>
  </si>
  <si>
    <t xml:space="preserve">Evidence</t>
  </si>
  <si>
    <t xml:space="preserve">Partnership angle</t>
  </si>
  <si>
    <t xml:space="preserve">Cafes named on its pages (auto — verify)</t>
  </si>
  <si>
    <t xml:space="preserve">Web check (auto — verify)</t>
  </si>
  <si>
    <t xml:space="preserve">R001</t>
  </si>
  <si>
    <t xml:space="preserve">Candor Coffee</t>
  </si>
  <si>
    <t xml:space="preserve">Roastery off Powai (Vikhroli, LBS) with takeaway counter + cupping sessions</t>
  </si>
  <si>
    <t xml:space="preserve">Listed as roastery with cuppings.</t>
  </si>
  <si>
    <t xml:space="preserve">Peer.</t>
  </si>
  <si>
    <t xml:space="preserve">https://www.thewaytocoffee.com/roasters/bombay-island-coffee-company</t>
  </si>
  <si>
    <t xml:space="preserve">R002</t>
  </si>
  <si>
    <t xml:space="preserve">Bombay Island Coffee Company</t>
  </si>
  <si>
    <t xml:space="preserve">Malad roastery (2018) → Vikhroli flagship (2021); Chikmagalur single estates</t>
  </si>
  <si>
    <t xml:space="preserve">Small-batch 100% Arabica, Chikmagalur.</t>
  </si>
  <si>
    <t xml:space="preserve">Competitor.</t>
  </si>
  <si>
    <t xml:space="preserve">Rupal &amp; Vineet Jain</t>
  </si>
  <si>
    <t xml:space="preserve">https://sprudge.com/the-sprudge-coffee-guide-to-mumbai-150364.html</t>
  </si>
  <si>
    <t xml:space="preserve">Indian origins/estates: Chikmagalur, Karnataka, Pulney / Kodaikanal, Bynemara Estate; Processes / format: House blend, Washed, Natural, Single estate; Brew: Pour over, Cold brew, French press, AeroPress; Prices: these divine Javas. Each pack weighs 250g and is priced at INR 300 irrespective of the | Grinder, Cold Brew Maker, French Press and more starting at INR 410. Follow W … In Ko</t>
  </si>
  <si>
    <t xml:space="preserve">R003</t>
  </si>
  <si>
    <t xml:space="preserve">Roaster-cafes (Khar West + 4 more; One BKC upcoming)</t>
  </si>
  <si>
    <t xml:space="preserve">Neighbourhood cafe + creative roastery.</t>
  </si>
  <si>
    <t xml:space="preserve">Guest lot for new outlet.</t>
  </si>
  <si>
    <t xml:space="preserve">Brew: Flat white; Signals: Coming soon</t>
  </si>
  <si>
    <t xml:space="preserve">R004</t>
  </si>
  <si>
    <t xml:space="preserve">Dancing Goat Coffee</t>
  </si>
  <si>
    <t xml:space="preserve">Direct-trade roaster + physical store</t>
  </si>
  <si>
    <t xml:space="preserve">Single-origin &amp; micro-lot focus (ICB listing).</t>
  </si>
  <si>
    <t xml:space="preserve">https://www.indiancoffeebeans.com/roasters</t>
  </si>
  <si>
    <t xml:space="preserve">Indian origins/estates: Karnataka, Tamil Nadu, Chikmagalur, Koraput</t>
  </si>
  <si>
    <t xml:space="preserve">R005</t>
  </si>
  <si>
    <t xml:space="preserve">Drum Coffee Roasters</t>
  </si>
  <si>
    <t xml:space="preserve">Suburban roastery; single-source + blends</t>
  </si>
  <si>
    <t xml:space="preserve">Listed among Mumbai specialty roasters.</t>
  </si>
  <si>
    <t xml:space="preserve">https://www.localspecialtycoffee.com/cities/specialty-coffee-mumbai/in-house-roasting</t>
  </si>
  <si>
    <t xml:space="preserve">R006</t>
  </si>
  <si>
    <t xml:space="preserve">KC Roasters (by Koinonia)</t>
  </si>
  <si>
    <t xml:space="preserve">Roaster-cafe, Khar West (Probat, siphon bar)</t>
  </si>
  <si>
    <t xml:space="preserve">'Coffee roasters first and a cafe second'. Founded 2016; roasts daily, ships pan-India.</t>
  </si>
  <si>
    <t xml:space="preserve">Competitor; guest-lot swaps.</t>
  </si>
  <si>
    <t xml:space="preserve">https://in.linkedin.com/company/kc-roasters</t>
  </si>
  <si>
    <t xml:space="preserve">https://oteats.outlooktraveller.com/features/heres-where-to-find-the-best-artisanal-coffee-in-mumbai</t>
  </si>
  <si>
    <t xml:space="preserve">Indian origins/estates: Chikmagalur, Nilgiris; Processes / format: Single estate; Brew: Cold brew</t>
  </si>
  <si>
    <t xml:space="preserve">R007</t>
  </si>
  <si>
    <t xml:space="preserve">NAKED Coffee Roasters</t>
  </si>
  <si>
    <t xml:space="preserve">Specialty roaster brand: 9 coffees incl. micro- and nano-lots from 8 estates in India and abroad; single-serve pour-over bags; D2C first, then quick commerce, B2B and cafes</t>
  </si>
  <si>
    <t xml:space="preserve">Launch coverage (afaqs, Indian Retailer); a roasting masterclass was held at 'Naked Coffee Roasters, Mumbai' (Aug 2025).</t>
  </si>
  <si>
    <t xml:space="preserve">Competitor for cafe accounts once its B2B arm opens; creator reach makes it a strong consumer brand.</t>
  </si>
  <si>
    <t xml:space="preserve">Radhika Seth &amp; Meghna Kaur (creators) with co-founders Naheel Koroth and Akash Thakkar</t>
  </si>
  <si>
    <t xml:space="preserve">https://www.afaqs.com/news/brands/radhika-seth-and-meghna-kaur-launch-coffee-brand-naked-9480876</t>
  </si>
  <si>
    <t xml:space="preserve">Moved from the cafe list (wave 4b); a Lower Parel location was listed earlier.</t>
  </si>
  <si>
    <t xml:space="preserve">R008</t>
  </si>
  <si>
    <t xml:space="preserve">Own organic estate in Kodaikanal Wildlife Sanctuary (roasts at estate); Mulla House (Kala Ghoda), The White Crow (Jio World Drive), Bengaluru cafe (2026)</t>
  </si>
  <si>
    <t xml:space="preserve">World Coffee Portal, Jul 2026. Ran a takeover at Genre (Delhi, Oct 2025).</t>
  </si>
  <si>
    <t xml:space="preserve">Competitor (they also sell B2B).</t>
  </si>
  <si>
    <t xml:space="preserve">https://www.worldcoffeeportal.com/news/nandan-coffee-steps-up-competition-in-indias-specialty-coffee-segment/</t>
  </si>
  <si>
    <t xml:space="preserve">Indian origins/estates: Pulney / Kodaikanal, Tamil Nadu, Nandanvan Estate; Brew: South Indian filter, French press, Cold brew; Signals: Wholesale / cafe partners</t>
  </si>
  <si>
    <t xml:space="preserve">R009</t>
  </si>
  <si>
    <t xml:space="preserve">Silk Road Coffee Company</t>
  </si>
  <si>
    <t xml:space="preserve">3,500 sq ft roastery + bakehouse, Versova (150+ guests; manual brew bar, Slayer)</t>
  </si>
  <si>
    <t xml:space="preserve">Opened 2026 (Restaurant India).</t>
  </si>
  <si>
    <t xml:space="preserve">https://www.restaurantindia.in/news/silk-road-coffee-company-opens-3500-sq-ft-roastery-and-bakehouse-in-versova.n17287</t>
  </si>
  <si>
    <t xml:space="preserve">A local guide links the name to Project Hum Versova — unconfirmed.</t>
  </si>
  <si>
    <t xml:space="preserve">Imported origins: Vietnam; Brew: Espresso tonic</t>
  </si>
  <si>
    <t xml:space="preserve">R010</t>
  </si>
  <si>
    <t xml:space="preserve">'Caffeinated by Subko' wholesale (cafes, offices, hotels, airlines) actively adding small/mid accounts; 12 venues (2024); Dubai</t>
  </si>
  <si>
    <t xml:space="preserve">Direct trade, experimental processing, SCA 85+ lots. Supplies The Drop, Project Hum and Blockheads (wave 4).</t>
  </si>
  <si>
    <t xml:space="preserve">Competitor / benchmark; possible green-lot collab.</t>
  </si>
  <si>
    <t xml:space="preserve">@subkocoffee</t>
  </si>
  <si>
    <t xml:space="preserve">https://www.instagram.com/subkocoffee/</t>
  </si>
  <si>
    <t xml:space="preserve">https://www.subko.coffee</t>
  </si>
  <si>
    <t xml:space="preserve">https://in.linkedin.com/company/subkocoffee</t>
  </si>
  <si>
    <t xml:space="preserve">Rahul Reddy (in.linkedin.com/in/rahulgreddy)</t>
  </si>
  <si>
    <t xml:space="preserve">Indian origins/estates: Karnataka, Baba Budangiri, Shevaroys / Yercaud, Tamil Nadu, Pulney / Kodaikanal, Ratnagiri Estate, Badra Estate, Lekali Estate; Processes / format: Micro-lot, Single origin, Anaerobic, Cup score, Washed, Natural, Carbonic maceration, Thermal shock; Varietals: Robusta, Liberica, Excelsa; Brew: Pour over, Origami, Cascara; Commodity brands: Starbucks; Signals: Coming soon, Hiring</t>
  </si>
  <si>
    <t xml:space="preserve">R011</t>
  </si>
  <si>
    <t xml:space="preserve">Toffee Coffee Roasters</t>
  </si>
  <si>
    <t xml:space="preserve">Roaster + shops (started Bandra 2019; Reclamation, Kurla West)</t>
  </si>
  <si>
    <t xml:space="preserve">Sells only coffee &lt;48h out of the roaster.</t>
  </si>
  <si>
    <t xml:space="preserve">https://www.linkedin.com/company/toffeecoffeeroasters</t>
  </si>
  <si>
    <t xml:space="preserve">Indian origins/estates: Karnataka, Monsooned Malabar, Finest Coffee Estate; Processes / format: Single origin, Washed, Natural, Thermal shock; Varietals: Liberica, Robusta; Brew: Pour over, Cold brew, Tasting flight / omakase; Commodity brands: Nespresso</t>
  </si>
  <si>
    <t xml:space="preserve">R012</t>
  </si>
  <si>
    <t xml:space="preserve">Toise Coffee Roastery &amp; Brew Studio</t>
  </si>
  <si>
    <t xml:space="preserve">Roaster-cafe, Worli (electric roaster, brew studio)</t>
  </si>
  <si>
    <t xml:space="preserve">EazyDiner 4.7 (421).</t>
  </si>
  <si>
    <t xml:space="preserve">Competitor; collab cupping.</t>
  </si>
  <si>
    <t xml:space="preserve">https://www.eazydiner.com/mumbai/toise-coffee-roastery-worli-south-mumbai-702423/reviews</t>
  </si>
  <si>
    <t xml:space="preserve">Brew: Cortado; Prices: ffee Roastery? The cost of two at Toise Coffee Roastery is ₹ 800. You can save EXTRA; ₹ 800 for two</t>
  </si>
  <si>
    <t xml:space="preserve">R013</t>
  </si>
  <si>
    <t xml:space="preserve">Tulum Coffee (Tulum Coffee Bar, Chembur)</t>
  </si>
  <si>
    <t xml:space="preserve">Estate-owned roaster + coffee bar</t>
  </si>
  <si>
    <t xml:space="preserve">7 active coffees, filter-focused, experimental (ICB).</t>
  </si>
  <si>
    <t xml:space="preserve">Indian origins/estates: Karnataka, Chikmagalur</t>
  </si>
  <si>
    <t xml:space="preserve">R014</t>
  </si>
  <si>
    <t xml:space="preserve">Beverage Union</t>
  </si>
  <si>
    <t xml:space="preserve">Mumbai (TBC)</t>
  </si>
  <si>
    <t xml:space="preserve">Roaster supplying cafes</t>
  </si>
  <si>
    <t xml:space="preserve">Roasts for Mazi Coffee Bar &amp; Kitchen (Santacruz).</t>
  </si>
  <si>
    <t xml:space="preserve">https://www.freepressjournal.in/lifestyle/food-review-mazi-coffee-bar-and-kitchen-mumbai-offers-inventive-coffee-creations-and-delectable-dishes</t>
  </si>
  <si>
    <t xml:space="preserve">City not stated.</t>
  </si>
  <si>
    <t xml:space="preserve">Brew: Cold brew, Espresso tonic</t>
  </si>
  <si>
    <t xml:space="preserve">R015</t>
  </si>
  <si>
    <t xml:space="preserve">Roaster + standing-room cafes (392 Khare Town, Dharampeth; Sitabuldi)</t>
  </si>
  <si>
    <t xml:space="preserve">Founder Mithilesh Vazalwar; 'make Indian coffee accessible'. Supplies NOT FAR (Bandra, Mumbai); own cafes OG Buldi, Lean, Standing Room (Nagpur); beans incl. March Mellow cold-brew blend, Baarbara Estate washed. Nagpur Today 2026 calls it the city's specialty benchmark; serves an Ethiopian pour-over (imports some lots). Supplies NOT FAR (Mumbai), Bouffage (Nagpur) and Larder &amp; Folk (Panjim, ~60 kg/month) — wave 4.</t>
  </si>
  <si>
    <t xml:space="preserve">Central India peer — co-marketing / distribution.</t>
  </si>
  <si>
    <t xml:space="preserve">@coffeebrim (Brim by Corridor Seven cafe)</t>
  </si>
  <si>
    <t xml:space="preserve">https://www.instagram.com/coffeebrim/</t>
  </si>
  <si>
    <t xml:space="preserve">https://corridorseven.coffee</t>
  </si>
  <si>
    <t xml:space="preserve">Mithilesh Vazalwar (founder)</t>
  </si>
  <si>
    <t xml:space="preserve">https://www.justdial.com/Nagpur/Coffee-Shops-in-Civil-Lines/nct-10104727</t>
  </si>
  <si>
    <t xml:space="preserve">Indian origins/estates: Nilgiris, Pulney / Kodaikanal, Meghalaya, Biligiri / BR Hills, Shevaroys / Yercaud, Basankhan Estate, Gungegiri Estate, Salawara Estate; Processes / format: Washed, Natural, Single origin, Cup score; Varietals: Peaberry; Brew: AeroPress, Cold brew, French press, Moka pot, Tasting flight / omakase; Commodity brands: Nespresso; Prices: © Corridor Seven Coffee roasters 2026. Designed by Hubako Media | © Corridor Seven Coffee roasters 2026. Designed by Hubako Media | © Corridor Seven Coffee roasters 2026. Designed by Hubako Media; Signals: Wholesale / cafe partners</t>
  </si>
  <si>
    <t xml:space="preserve">R016</t>
  </si>
  <si>
    <t xml:space="preserve">Parera Coffee</t>
  </si>
  <si>
    <t xml:space="preserve">Specialty roaster (Manish Nagar)</t>
  </si>
  <si>
    <t xml:space="preserve">Instagram bio.</t>
  </si>
  <si>
    <t xml:space="preserve">@pareracoffee</t>
  </si>
  <si>
    <t xml:space="preserve">https://www.instagram.com/pareracoffee/</t>
  </si>
  <si>
    <t xml:space="preserve">R017</t>
  </si>
  <si>
    <t xml:space="preserve">Antidote Coffee Roasters</t>
  </si>
  <si>
    <t xml:space="preserve">Roaster, 100% Arabica</t>
  </si>
  <si>
    <t xml:space="preserve">@antidotecoffeeroasters</t>
  </si>
  <si>
    <t xml:space="preserve">https://www.instagram.com/antidotecoffeeroasters/</t>
  </si>
  <si>
    <t xml:space="preserve">R018</t>
  </si>
  <si>
    <t xml:space="preserve">7 Elements Coffee Roasters</t>
  </si>
  <si>
    <t xml:space="preserve">Shared on r/PuneCoffee (Jan 2026); listed for Pune.</t>
  </si>
  <si>
    <t xml:space="preserve">Small peer.</t>
  </si>
  <si>
    <t xml:space="preserve">Thin info</t>
  </si>
  <si>
    <t xml:space="preserve">Indian origins/estates: Karnataka, Chikmagalur, Araku, Meghalaya</t>
  </si>
  <si>
    <t xml:space="preserve">R019</t>
  </si>
  <si>
    <t xml:space="preserve">729 Grams Coffee Roasters</t>
  </si>
  <si>
    <t xml:space="preserve">Roaster-cafe Koregaon Park Lane 5 + Bandra Mumbai debut (2026)</t>
  </si>
  <si>
    <t xml:space="preserve">29 artisanal coffees; European bakehouse.</t>
  </si>
  <si>
    <t xml:space="preserve">Competitor; expanding.</t>
  </si>
  <si>
    <t xml:space="preserve">https://729gramscoffee.com</t>
  </si>
  <si>
    <t xml:space="preserve">https://jobs.weekday.works/sr-barista-at-729-grams-coffee-roasters-wkdywty1k0</t>
  </si>
  <si>
    <t xml:space="preserve">R020</t>
  </si>
  <si>
    <t xml:space="preserve">Grey Soul Coffee Roasters</t>
  </si>
  <si>
    <t xml:space="preserve">Pune / Mumbai</t>
  </si>
  <si>
    <t xml:space="preserve">3 flagships (Bandra, Kala Ghoda, Pune KP); target 10 by FY28; on Blinkit</t>
  </si>
  <si>
    <t xml:space="preserve">Pour-over led; Karnataka, TN, Nagaland, Sikkim, Odisha; from ₹699/250g. Sources Karnataka, Nagaland, Sikkim, Odisha (Jampui, Tripura lot); no syrups.</t>
  </si>
  <si>
    <t xml:space="preserve">https://greysoul.coffee/</t>
  </si>
  <si>
    <t xml:space="preserve">https://greysoul.coffee/pages/our-cafe</t>
  </si>
  <si>
    <t xml:space="preserve">Indian origins/estates: Shevaroys / Yercaud, Chikmagalur, Coorg / Kodagu, Pulney / Kodaikanal, Karnataka, Nagaland; Processes / format: Natural, Washed, Experimental lot, Anaerobic; Varietals: Chandragiri, Catimor, SL795, SL9; Brew: Pour over, Cortado, Flat white, V60, South Indian filter, Tasting flight / omakase; Signals: Retail beans, Now open, Wholesale / cafe partners</t>
  </si>
  <si>
    <t xml:space="preserve">R021</t>
  </si>
  <si>
    <t xml:space="preserve">Coffeeverse (Pune cafe planned)</t>
  </si>
  <si>
    <t xml:space="preserve">Ahmedabad specialty brand; e-commerce; plans physical presence in Pune</t>
  </si>
  <si>
    <t xml:space="preserve">Indian Retailer launch coverage.</t>
  </si>
  <si>
    <t xml:space="preserve">Upcoming competitor in Pune.</t>
  </si>
  <si>
    <t xml:space="preserve">https://www.indianretailer.com/news/coffeeverse-launches-e-commerce-platform-bring-premium-specialty-coffee-across-india</t>
  </si>
  <si>
    <t xml:space="preserve">Indian origins/estates: Chikmagalur, Coorg / Kodagu, Monsooned Malabar; Processes / format: Natural, Honey, Anaerobic, Micro-lot; Brew: AeroPress</t>
  </si>
  <si>
    <t xml:space="preserve">R022</t>
  </si>
  <si>
    <t xml:space="preserve">Korebi</t>
  </si>
  <si>
    <t xml:space="preserve">Listed in Indian Coffee Guide (Ahmedabad).</t>
  </si>
  <si>
    <t xml:space="preserve">https://www.indiancoffeeguide.com/locations</t>
  </si>
  <si>
    <t xml:space="preserve">R023</t>
  </si>
  <si>
    <t xml:space="preserve">Coffeeverse</t>
  </si>
  <si>
    <t xml:space="preserve">Roaster + e-commerce premium specialty platform</t>
  </si>
  <si>
    <t xml:space="preserve">Launched e-commerce for premium specialty coffee across India.</t>
  </si>
  <si>
    <t xml:space="preserve">Possible marketplace listing.</t>
  </si>
  <si>
    <t xml:space="preserve">R024</t>
  </si>
  <si>
    <t xml:space="preserve">Roaster-cafe, 40/41 Springfield row house, Sandesh Press Rd, Bodakdev; retail at Nature's Basket (Palladium); Vadodara branch (Bhayli)</t>
  </si>
  <si>
    <t xml:space="preserve">Single-origin Indian estates; Chemex/AeroPress.</t>
  </si>
  <si>
    <t xml:space="preserve">@roastery.cultur</t>
  </si>
  <si>
    <t xml:space="preserve">https://www.instagram.com/roastery.cultur/</t>
  </si>
  <si>
    <t xml:space="preserve">R025</t>
  </si>
  <si>
    <t xml:space="preserve">Ahmedabad / Vadodara</t>
  </si>
  <si>
    <t xml:space="preserve">Roaster + cafes (Vastrapur, Alkapuri Vadodara, KOMO by Kaffa)</t>
  </si>
  <si>
    <t xml:space="preserve">4.5; KOMO 'Gujarat's biggest cafe'.</t>
  </si>
  <si>
    <t xml:space="preserve">Regional chain.</t>
  </si>
  <si>
    <t xml:space="preserve">R026</t>
  </si>
  <si>
    <t xml:space="preserve">Bouee Coffee Roasters</t>
  </si>
  <si>
    <t xml:space="preserve">Listed as a Surat roaster on Pulled.</t>
  </si>
  <si>
    <t xml:space="preserve">https://www.pulled.coffee/shop/bouee-coffee-roasters-surat</t>
  </si>
  <si>
    <t xml:space="preserve">R027</t>
  </si>
  <si>
    <t xml:space="preserve">Coffee Culture</t>
  </si>
  <si>
    <t xml:space="preserve">Surat (roastery in Goa)</t>
  </si>
  <si>
    <t xml:space="preserve">Cafe chain with own roastery (Goa)</t>
  </si>
  <si>
    <t xml:space="preserve">Outlets incl. Rajkot 150ft Ring Rd, Viman Nagar Pune, Leh.</t>
  </si>
  <si>
    <t xml:space="preserve">Chain — not a buyer.</t>
  </si>
  <si>
    <t xml:space="preserve">https://coffeeculture.co.in/</t>
  </si>
  <si>
    <t xml:space="preserve">https://coffeeculture.co.in/pages/location</t>
  </si>
  <si>
    <t xml:space="preserve">Indian origins/estates: Chikmagalur; Imported origins: Colombia; Processes / format: Natural, Micro-lot, Single origin, House blend, Washed, Semi-washed; Brew: Pour over, French press, Cold brew, AeroPress, Moka pot, Flat white</t>
  </si>
  <si>
    <t xml:space="preserve">R028</t>
  </si>
  <si>
    <t xml:space="preserve">The Good Stuff Cafe</t>
  </si>
  <si>
    <t xml:space="preserve">Surat / Mumbai</t>
  </si>
  <si>
    <t xml:space="preserve">Roastery + coffee shops</t>
  </si>
  <si>
    <t xml:space="preserve">Multiple outlets in Surat and Mumbai.</t>
  </si>
  <si>
    <t xml:space="preserve">https://wanderlog.com/list/geoCategory/282401/best-coffee-shops-and-best-cafes-in-surat</t>
  </si>
  <si>
    <t xml:space="preserve">Brew: Chemex, Cold brew</t>
  </si>
  <si>
    <t xml:space="preserve">R029</t>
  </si>
  <si>
    <t xml:space="preserve">Roaster-cafe</t>
  </si>
  <si>
    <t xml:space="preserve">~20 coffees from 4 estates. Stocked by Babka (Anjuna) — wave 4.</t>
  </si>
  <si>
    <t xml:space="preserve">https://lbb.in/goa/java-junkies-youll-love-this-df7516/</t>
  </si>
  <si>
    <t xml:space="preserve">R030</t>
  </si>
  <si>
    <t xml:space="preserve">Organic small-farmer coffee; stockists Bastardo (Porvorim), Dodaa Atelier (Candolim), The Astor; Delhi outlet</t>
  </si>
  <si>
    <t xml:space="preserve">Instagram bio lists cafe stockists.</t>
  </si>
  <si>
    <t xml:space="preserve">Competitor for Goa cafe accounts.</t>
  </si>
  <si>
    <t xml:space="preserve">@rubyscoffee_goa</t>
  </si>
  <si>
    <t xml:space="preserve">R031</t>
  </si>
  <si>
    <t xml:space="preserve">Sussegado Coffee Roasters</t>
  </si>
  <si>
    <t xml:space="preserve">Single-origin specialist.</t>
  </si>
  <si>
    <t xml:space="preserve">R032</t>
  </si>
  <si>
    <t xml:space="preserve">Goa (TBC)</t>
  </si>
  <si>
    <t xml:space="preserve">Community-driven roaster</t>
  </si>
  <si>
    <t xml:space="preserve">Stocked by Babka (Anjuna); supplies Mleko (Ahmedabad) alongside Kalledevarapura Estate (wave 4b).</t>
  </si>
  <si>
    <t xml:space="preserve">https://lbb.in/goa/babka-coffee-shop-desserts-anjuna</t>
  </si>
  <si>
    <t xml:space="preserve">City not confirmed (a Knocksense piece groups it with Karnataka estates).</t>
  </si>
  <si>
    <t xml:space="preserve">R033</t>
  </si>
  <si>
    <t xml:space="preserve">nada</t>
  </si>
  <si>
    <t xml:space="preserve">Panjim / Anjuna</t>
  </si>
  <si>
    <t xml:space="preserve">Roaster-cafe (since 2023)</t>
  </si>
  <si>
    <t xml:space="preserve">Roasts own, Chikmagalur sourcing.</t>
  </si>
  <si>
    <t xml:space="preserve">R034</t>
  </si>
  <si>
    <t xml:space="preserve">Cafe Handcrafted &amp; Roastery</t>
  </si>
  <si>
    <t xml:space="preserve">Roaster-cafe, Arera Colony</t>
  </si>
  <si>
    <t xml:space="preserve">First specialty cafe + roastery in Bhopal/MP.</t>
  </si>
  <si>
    <t xml:space="preserve">https://www.tripadvisor.com/Restaurant_Review-g319726-d19418225-Reviews-Handcrafted_Cafe_and_Roastery-Bhopal_Bhopal_District_Madhya_Pradesh.html</t>
  </si>
  <si>
    <t xml:space="preserve">R035</t>
  </si>
  <si>
    <t xml:space="preserve">Siolim Specialty Coffee Roasters</t>
  </si>
  <si>
    <t xml:space="preserve">Roaster (est. 2022) + India's first co-roasting space + barista school</t>
  </si>
  <si>
    <t xml:space="preserve">Microlots, barrel-aged 'Madeera' series, direct from smallholders.</t>
  </si>
  <si>
    <t xml:space="preserve">Partner: co-roasting / barista-school channel to new MP cafes.</t>
  </si>
  <si>
    <t xml:space="preserve">@siolim.coffee</t>
  </si>
  <si>
    <t xml:space="preserve">https://www.instagram.com/siolim.coffee/</t>
  </si>
  <si>
    <t xml:space="preserve">https://www.siolim.coffee/</t>
  </si>
  <si>
    <t xml:space="preserve">https://homegrown.co.in/homegrown-supply/siolims-artisanal-roasts-are-bringing-a-community-driven-approach-to-central-indian-coffee</t>
  </si>
  <si>
    <t xml:space="preserve">Indian origins/estates: Araku, Ratnagiri Estate; Processes / format: Micro-lot, Washed, Anaerobic, Natural; Varietals: Excelsa; Brew: Cascara, Pour over, French press, Japanese iced, Moka pot, Cold brew, South Indian filter; Signals: Wholesale / cafe partners</t>
  </si>
  <si>
    <t xml:space="preserve">R036</t>
  </si>
  <si>
    <t xml:space="preserve">Indian Bean</t>
  </si>
  <si>
    <t xml:space="preserve">Roaster (since 2013)</t>
  </si>
  <si>
    <t xml:space="preserve">Cited on LinkedIn as building in Jaipur since 2013.</t>
  </si>
  <si>
    <t xml:space="preserve">R037</t>
  </si>
  <si>
    <t xml:space="preserve">Zupreme Coffee</t>
  </si>
  <si>
    <t xml:space="preserve">Listed in Indian Coffee Guide.</t>
  </si>
  <si>
    <t xml:space="preserve">R038</t>
  </si>
  <si>
    <t xml:space="preserve">Brewtown Coffee Roasters</t>
  </si>
  <si>
    <t xml:space="preserve">Roaster; Jaipur location 'Coming Soon'</t>
  </si>
  <si>
    <t xml:space="preserve">Micro-lot specialty focus.</t>
  </si>
  <si>
    <t xml:space="preserve">Upcoming peer.</t>
  </si>
  <si>
    <t xml:space="preserve">@brewtowncoffeeroasters / @brewtownjaipur</t>
  </si>
  <si>
    <t xml:space="preserve">https://www.instagram.com/brewtowncoffeeroasters/</t>
  </si>
  <si>
    <t xml:space="preserve">R039</t>
  </si>
  <si>
    <t xml:space="preserve">CAPULUSBEANS Coffee Roasters</t>
  </si>
  <si>
    <t xml:space="preserve">Roaster, ships pan-India</t>
  </si>
  <si>
    <t xml:space="preserve">Self-described speciality roastery.</t>
  </si>
  <si>
    <t xml:space="preserve">@capulusbeansroasters</t>
  </si>
  <si>
    <t xml:space="preserve">https://www.instagram.com/capulusbeansroasters/</t>
  </si>
  <si>
    <t xml:space="preserve">R040</t>
  </si>
  <si>
    <t xml:space="preserve">Coffee Sutra</t>
  </si>
  <si>
    <t xml:space="preserve">Roaster + 3 cafes (Malviya Nagar Jun 2025)</t>
  </si>
  <si>
    <t xml:space="preserve">In-house roasting; Geisha lots; founder Dushyant Singh.</t>
  </si>
  <si>
    <t xml:space="preserve">@sutracoffee</t>
  </si>
  <si>
    <t xml:space="preserve">https://www.instagram.com/sutracoffee/</t>
  </si>
  <si>
    <t xml:space="preserve">Dushyant Singh (founder)</t>
  </si>
  <si>
    <t xml:space="preserve">https://www.restaurantindia.in/news/coffee-sutra-opens-third-cafe-in-jaipur-with-advanced-global-brewing-systems.n12995</t>
  </si>
  <si>
    <t xml:space="preserve">Imported origins: Colombia; Processes / format: Single origin; Varietals: Geisha / Gesha; Brew: Pour over, Cold brew</t>
  </si>
  <si>
    <t xml:space="preserve">R041</t>
  </si>
  <si>
    <t xml:space="preserve">Half-Light Coffee Roasters</t>
  </si>
  <si>
    <t xml:space="preserve">Wholesale roaster (est. 2018) -&gt; cafes in Jaipur (C-Scheme) + new Gurugram outlet (AIPL Joy Gallery)</t>
  </si>
  <si>
    <t xml:space="preserve">Moved from wholesale supply to own cafe. Stocked by Babka (Anjuna, Goa) — wave 4.</t>
  </si>
  <si>
    <t xml:space="preserve">https://in.linkedin.com/company/half-light-coffee-roasters</t>
  </si>
  <si>
    <t xml:space="preserve">Sameer Godara</t>
  </si>
  <si>
    <t xml:space="preserve">Indian origins/estates: Karnataka; Processes / format: Single origin; Signals: Hiring</t>
  </si>
  <si>
    <t xml:space="preserve">R042</t>
  </si>
  <si>
    <t xml:space="preserve">Noir Coffee House &amp; Roastery</t>
  </si>
  <si>
    <t xml:space="preserve">Roaster-cafe, C-Scheme, 24x7</t>
  </si>
  <si>
    <t xml:space="preserve">Specialty coffee house + roastery.</t>
  </si>
  <si>
    <t xml:space="preserve">@cafenoirjaipur</t>
  </si>
  <si>
    <t xml:space="preserve">https://www.instagram.com/cafenoirjaipur/</t>
  </si>
  <si>
    <t xml:space="preserve">R043</t>
  </si>
  <si>
    <t xml:space="preserve">Taffeta Coffee</t>
  </si>
  <si>
    <t xml:space="preserve">Roastery + specialty coffee shop, Jawahar Circle</t>
  </si>
  <si>
    <t xml:space="preserve">Instagram profile.</t>
  </si>
  <si>
    <t xml:space="preserve">@taffetacoffeeindia</t>
  </si>
  <si>
    <t xml:space="preserve">https://www.instagram.com/taffetacoffeeindia/</t>
  </si>
  <si>
    <t xml:space="preserve">R044</t>
  </si>
  <si>
    <t xml:space="preserve">Alchemist Coffee Company</t>
  </si>
  <si>
    <t xml:space="preserve">Jaipur / Ajmer</t>
  </si>
  <si>
    <t xml:space="preserve">Micro-roastery + cafes</t>
  </si>
  <si>
    <t xml:space="preserve">Three Karnataka partner farms.</t>
  </si>
  <si>
    <t xml:space="preserve">Imported origins: Vietnam; Processes / format: Single origin; Brew: Pour over, Cold brew, Affogato, V60; Prices: Coffee • ₹400 for two; ₹1200 for two</t>
  </si>
  <si>
    <t xml:space="preserve">R045</t>
  </si>
  <si>
    <t xml:space="preserve">First Crack Coffee Roasters</t>
  </si>
  <si>
    <t xml:space="preserve">Roaster (Basni Cyber Park)</t>
  </si>
  <si>
    <t xml:space="preserve">Pioneering roastery for Tier II/III Rajasthan.</t>
  </si>
  <si>
    <t xml:space="preserve">Peer / regional distributor.</t>
  </si>
  <si>
    <t xml:space="preserve">Commodity brands: Starbucks; ₹600 for two</t>
  </si>
  <si>
    <t xml:space="preserve">R046</t>
  </si>
  <si>
    <t xml:space="preserve">AOSA Roastery &amp; Bakehouse</t>
  </si>
  <si>
    <t xml:space="preserve">Roaster-cafe, 42/A near UIT Circle, Fatehpura</t>
  </si>
  <si>
    <t xml:space="preserve">Roasts on site; single origins.</t>
  </si>
  <si>
    <t xml:space="preserve">R047</t>
  </si>
  <si>
    <t xml:space="preserve">BROOT Coffee Roasters</t>
  </si>
  <si>
    <t xml:space="preserve">Wholesale roaster + barista training</t>
  </si>
  <si>
    <t xml:space="preserve">Wholesale from ₹1,050/kg, 15 kg/month minimum; ships within 48h.</t>
  </si>
  <si>
    <t xml:space="preserve">Price benchmark.</t>
  </si>
  <si>
    <t xml:space="preserve">https://brootcoffee.com/</t>
  </si>
  <si>
    <t xml:space="preserve">https://brootcoffee.com/pages/wholesale-coffee-supplier</t>
  </si>
  <si>
    <t xml:space="preserve">Indian origins/estates: Koraput, Chikmagalur, Coorg / Kodagu, Shevaroys / Yercaud, Udaygiri Estate; Imported origins: Ethiopia, Guji, Kenya; Processes / format: Washed, Single origin, Micro-lot, Experimental lot, Natural; Varietals: Robusta; Brew: Pour over, Cascara, French press, Cold brew, Moka pot, V60, AeroPress, Kalita; Prices: 100 G BAGS OF ANY COFFEE, ₹299 EACH PLUS GST, GROUND OR WHOLE BEAN. BREW BEFORE YOU COMMIT. ORDERS START AT 15 KG A MONTH. | TWO OR THREE COFFEES MATCHED TO YOUR MENU, ₹299 A BAG PLUS GST. DISPATCHED THE SAME WEEK, ANYWHERE IN INDIA.; Signals: Retail beans, Wholesale / cafe partners</t>
  </si>
  <si>
    <t xml:space="preserve">R048</t>
  </si>
  <si>
    <t xml:space="preserve">Devan's South Indian Coffee &amp; Tea</t>
  </si>
  <si>
    <t xml:space="preserve">Heritage roaster</t>
  </si>
  <si>
    <t xml:space="preserve">Single-origins + mix-and-match blends.</t>
  </si>
  <si>
    <t xml:space="preserve">https://wanderlog.com/list/geoCategory/1861413/coffee-roasters</t>
  </si>
  <si>
    <t xml:space="preserve">R049</t>
  </si>
  <si>
    <t xml:space="preserve">Kaffa Cerrado — The Roastery</t>
  </si>
  <si>
    <t xml:space="preserve">Roaster + cafe chain (Okhla roastery)</t>
  </si>
  <si>
    <t xml:space="preserve">Multi-country beans; Swiggy 4.4.</t>
  </si>
  <si>
    <t xml:space="preserve">Chain.</t>
  </si>
  <si>
    <t xml:space="preserve">https://wanderlog.com/place/details/1079730/kaffa-cerrado-the-roastery</t>
  </si>
  <si>
    <t xml:space="preserve">Imported origins: Colombia, Brazil, Ethiopia, Costa Rica; Processes / format: Single origin; Brew: Cold brew</t>
  </si>
  <si>
    <t xml:space="preserve">R050</t>
  </si>
  <si>
    <t xml:space="preserve">Roaster + Delhi's first multi-roaster cafe; Saket roastery, GK-II atelier; coffee omakase; supplies Indiroom (Goa)</t>
  </si>
  <si>
    <t xml:space="preserve">Workshops, tastings, personalised blends. Saket roastery + GK-II atelier (coffee + chocolate); sister company of ATE (Gurugram).</t>
  </si>
  <si>
    <t xml:space="preserve">Partner: guest roaster in their multi-roaster cafe.</t>
  </si>
  <si>
    <t xml:space="preserve">https://www.outlooktraveller.com/ot-pours/7-unique-coffee-experiences-in-delhi-you-need-to-try</t>
  </si>
  <si>
    <t xml:space="preserve">Indian origins/estates: Coorg / Kodagu, Baarbara Estate; Brew: Pour over, Tasting flight / omakase</t>
  </si>
  <si>
    <t xml:space="preserve">R051</t>
  </si>
  <si>
    <t xml:space="preserve">El Bueno Coffee Roasters</t>
  </si>
  <si>
    <t xml:space="preserve">Roaster (Naraina); supplies cafes</t>
  </si>
  <si>
    <t xml:space="preserve">Direct from Indian estates, small batch.</t>
  </si>
  <si>
    <t xml:space="preserve">R052</t>
  </si>
  <si>
    <t xml:space="preserve">Libertario Coffee Roasters (Coffeeco India Pvt Ltd)</t>
  </si>
  <si>
    <t xml:space="preserve">Roaster-cafe, GK-II</t>
  </si>
  <si>
    <t xml:space="preserve">Listed by BrewAtlas 2026. Coffee from Colombian farms (Delhiites, Aug 2025).</t>
  </si>
  <si>
    <t xml:space="preserve">Imports Colombian — pitch Indian estates for a cafe guest slot.</t>
  </si>
  <si>
    <t xml:space="preserve">R053</t>
  </si>
  <si>
    <t xml:space="preserve">Pour Over Coffee Roasters (POCR)</t>
  </si>
  <si>
    <t xml:space="preserve">Roaster + cafes (Khan Market flagship, Santushti Feb 2026, Malviya Nagar, DLF Ph1 Gurugram, Noida, McLeodganj)</t>
  </si>
  <si>
    <t xml:space="preserve">Launched 2025; targets 100 outlets by 2030; Colombian Huila collection.</t>
  </si>
  <si>
    <t xml:space="preserve">@pourover.in</t>
  </si>
  <si>
    <t xml:space="preserve">https://www.instagram.com/pourover.in/</t>
  </si>
  <si>
    <t xml:space="preserve">https://www.franchiseindia.com/insights/en/news/pour-over-coffee-roasters-targets-100-outlets-by-2030.59848</t>
  </si>
  <si>
    <t xml:space="preserve">R054</t>
  </si>
  <si>
    <t xml:space="preserve">Quick Brown Fox Coffee Roasters</t>
  </si>
  <si>
    <t xml:space="preserve">Small-batch roaster; cafes in Chhatarpur + Hauz Khas Market</t>
  </si>
  <si>
    <t xml:space="preserve">Roastery at the back is the core.</t>
  </si>
  <si>
    <t xml:space="preserve">@qbfcoffee</t>
  </si>
  <si>
    <t xml:space="preserve">https://www.instagram.com/qbfcoffee/</t>
  </si>
  <si>
    <t xml:space="preserve">https://sites.google.com/view/best-coffee-shop-in-delhi/</t>
  </si>
  <si>
    <t xml:space="preserve">R055</t>
  </si>
  <si>
    <t xml:space="preserve">Rossette Coffee Lab</t>
  </si>
  <si>
    <t xml:space="preserve">Wholesale to restaurants and hotels in Delhi NCR; 20+ estates direct; Probat</t>
  </si>
  <si>
    <t xml:space="preserve">Wholesale MOQ 10 kg espresso, 1 kg rarities.</t>
  </si>
  <si>
    <t xml:space="preserve">Competitor on wholesale; benchmark terms.</t>
  </si>
  <si>
    <t xml:space="preserve">@rossettecoffee</t>
  </si>
  <si>
    <t xml:space="preserve">https://www.instagram.com/rossettecoffee/</t>
  </si>
  <si>
    <t xml:space="preserve">https://rossettecoffee.com/</t>
  </si>
  <si>
    <t xml:space="preserve">https://rossettecoffee.com/pages/wholesale</t>
  </si>
  <si>
    <t xml:space="preserve">Indian origins/estates: Chikmagalur, Coorg / Kodagu, Tamil Nadu, Karnataka, Baba Budangiri, Shevaroys / Yercaud, Pulney / Kodaikanal, Sakleshpur; Imported origins: Ethiopia, Colombia, Guji, Sidama / Sidamo, Guatemala; Processes / format: Cup score, Natural, Washed, Anaerobic, Single origin, Co-fermented, Carbonic maceration, Experimental lot; Varietals: Liberica, Robusta, Excelsa, Bourbon; Brew: Cold brew, Decaf, Pour over; Commodity brands: illy; Signals: Wholesale / cafe partners</t>
  </si>
  <si>
    <t xml:space="preserve">R056</t>
  </si>
  <si>
    <t xml:space="preserve">BrewClan Coffee Roasters</t>
  </si>
  <si>
    <t xml:space="preserve">New Delhi (Dwarka)</t>
  </si>
  <si>
    <t xml:space="preserve">Small-batch roaster</t>
  </si>
  <si>
    <t xml:space="preserve">100% Arabica.</t>
  </si>
  <si>
    <t xml:space="preserve">https://brewclancoffee.com/</t>
  </si>
  <si>
    <t xml:space="preserve">Indian origins/estates: Ratnagiri Estate, Udayagiri Estate, PKC Kudiraipanjan Estate, Attikan Estate, Unnaki Estate, Baarbara Estate; Imported origins: Kenya; Processes / format: Washed, Natural, Single origin, Honey, Thermal shock; Varietals: Robusta, Peaberry; Brew: Pour over, French press, Cold brew, Moka pot, AeroPress, V60, Chemex, Kalita; Signals: Wholesale / cafe partners</t>
  </si>
  <si>
    <t xml:space="preserve">R057</t>
  </si>
  <si>
    <t xml:space="preserve">Shack Coffee Co.</t>
  </si>
  <si>
    <t xml:space="preserve">New Delhi (Shahpur Jat)</t>
  </si>
  <si>
    <t xml:space="preserve">Small-batch roaster-cafe</t>
  </si>
  <si>
    <t xml:space="preserve">Small-batch roasting.</t>
  </si>
  <si>
    <t xml:space="preserve">R058</t>
  </si>
  <si>
    <t xml:space="preserve">New Delhi (national)</t>
  </si>
  <si>
    <t xml:space="preserve">100+ cafes; B2B wholesale store; MACHINE LEASING (one monthly fee covers beans + espresso machine, MOQ, maintenance); partner barista training in Mumbai/Delhi/Bangalore</t>
  </si>
  <si>
    <t xml:space="preserve">Raised bridge funding; heavy 2026 hiring in Punjab/Haryana. HQ Gurugram; 4 roasteries; ~₹325 cr FY25 revenue; plans ~120 new cafes incl. Ahmedabad, Lucknow.</t>
  </si>
  <si>
    <t xml:space="preserve">The wholesale bar to beat: match the bundled machine/training offer or win on lot quality, freshness and exclusivity.</t>
  </si>
  <si>
    <t xml:space="preserve">https://wholesale.bluetokaicoffee.com</t>
  </si>
  <si>
    <t xml:space="preserve">b2bsales@bluetokaicoffee.com</t>
  </si>
  <si>
    <t xml:space="preserve">https://in.linkedin.com/company/bluetokaicoffeeroasters</t>
  </si>
  <si>
    <t xml:space="preserve">https://ionanalytics.com/insights/mergermarket/blue-tokai-opportunity-underscores-growing-investor-appetite-for-indias-specialty-coffee-sector-dealspeak-apac/</t>
  </si>
  <si>
    <t xml:space="preserve">Indian origins/estates: Karnataka, Chikmagalur, Tamil Nadu, Araku, Sandalwood Estate, Attikan Estate, Krishnagiri Estate, Kerehaklu Estate; Processes / format: Washed, Natural, Carbonic maceration; Varietals: SL795, Cauvery, Kent, Sarchimor; Brew: Tasting flight / omakase; Commodity brands: Starbucks; Signals: Hiring, Wholesale / cafe partners</t>
  </si>
  <si>
    <t xml:space="preserve">R059</t>
  </si>
  <si>
    <t xml:space="preserve">93 Degrees Coffee Roasters</t>
  </si>
  <si>
    <t xml:space="preserve">Online/marketplace roaster (est. 2022, 2–10 staff)</t>
  </si>
  <si>
    <t xml:space="preserve">LinkedIn company page.</t>
  </si>
  <si>
    <t xml:space="preserve">https://in.linkedin.com/company/93-degrees-coffee-roasters</t>
  </si>
  <si>
    <t xml:space="preserve">Mishthi Aggarwal, CEO (linkedin.com/in/mishthi-aggarwal-ceo93)</t>
  </si>
  <si>
    <t xml:space="preserve">R060</t>
  </si>
  <si>
    <t xml:space="preserve">First Coffee</t>
  </si>
  <si>
    <t xml:space="preserve">Chain, single farm (Harley Estate); 25 stores Delhi/Punjab/Haryana</t>
  </si>
  <si>
    <t xml:space="preserve">$1.3M funding; Tier-2 expansion.</t>
  </si>
  <si>
    <t xml:space="preserve">@yourfirstcoffee</t>
  </si>
  <si>
    <t xml:space="preserve">https://www.instagram.com/yourfirstcoffee/</t>
  </si>
  <si>
    <t xml:space="preserve">https://www.indianretailer.com/news/funding-alert-specialty-coffee-brand-first-coffee-secures-13-mn-fresh-funding</t>
  </si>
  <si>
    <t xml:space="preserve">R061</t>
  </si>
  <si>
    <t xml:space="preserve">Gram Street Coffee</t>
  </si>
  <si>
    <t xml:space="preserve">Roaster-cafe (DLF Ph1, Arjun Marg); chef Vanshika Bhatia</t>
  </si>
  <si>
    <t xml:space="preserve">Roasts Nagaland/Karnataka/Odisha in-house.</t>
  </si>
  <si>
    <t xml:space="preserve">https://www.restaurantindia.in/news/restaurant-india-news-gram-street-opens-in-gurugram-with-compact-specialty-caf-format.n16107</t>
  </si>
  <si>
    <t xml:space="preserve">Indian origins/estates: Karnataka</t>
  </si>
  <si>
    <t xml:space="preserve">R062</t>
  </si>
  <si>
    <t xml:space="preserve">Okiru Coffee Roasters</t>
  </si>
  <si>
    <t xml:space="preserve">Roaster (Sector 20)</t>
  </si>
  <si>
    <t xml:space="preserve">District specialty guide.</t>
  </si>
  <si>
    <t xml:space="preserve">Imported origins: Vietnam; Processes / format: Single origin; Brew: Pour over, Cortado, V60, French press; Prices: Coffee • ₹700 for two | ₹700 for two • Coffee • Italian; ₹1100 for two</t>
  </si>
  <si>
    <t xml:space="preserve">R063</t>
  </si>
  <si>
    <t xml:space="preserve">Roaster-cafe near Munshi Ghat</t>
  </si>
  <si>
    <t xml:space="preserve">Recommended for serious coffee.</t>
  </si>
  <si>
    <t xml:space="preserve">R064</t>
  </si>
  <si>
    <t xml:space="preserve">Doubleshot Coffee Roasters</t>
  </si>
  <si>
    <t xml:space="preserve">Amritsar / Jalandhar / Mohali / Chandigarh</t>
  </si>
  <si>
    <t xml:space="preserve">Roaster + coffee labs (Ranjit Avenue, Amritsar)</t>
  </si>
  <si>
    <t xml:space="preserve">Tripadvisor 4.9 (21).</t>
  </si>
  <si>
    <t xml:space="preserve">Peer / Punjab distribution.</t>
  </si>
  <si>
    <t xml:space="preserve">@doubleshotroasters</t>
  </si>
  <si>
    <t xml:space="preserve">https://www.instagram.com/doubleshotroasters/</t>
  </si>
  <si>
    <t xml:space="preserve">https://doubleshotcoffee.in/</t>
  </si>
  <si>
    <t xml:space="preserve">R065</t>
  </si>
  <si>
    <t xml:space="preserve">The Aroma Coffee Roaster &amp; Bakers</t>
  </si>
  <si>
    <t xml:space="preserve">Roaster-cafe, Westwood Mall</t>
  </si>
  <si>
    <t xml:space="preserve">Freshly roasts own coffee.</t>
  </si>
  <si>
    <t xml:space="preserve">https://rokazu.com/coffee-shops-in-punjab-india/</t>
  </si>
  <si>
    <t xml:space="preserve">R066</t>
  </si>
  <si>
    <t xml:space="preserve">Ikkis Coffee Roasters</t>
  </si>
  <si>
    <t xml:space="preserve">Roaster, 167 Khuda Ali Sher, Sector 1</t>
  </si>
  <si>
    <t xml:space="preserve">Single-origin, traceable Arabica.</t>
  </si>
  <si>
    <t xml:space="preserve">https://ikkis.coffee/</t>
  </si>
  <si>
    <t xml:space="preserve">Indian origins/estates: Shevaroys / Yercaud, Tamil Nadu, Orchardale Estate; Processes / format: Natural, Micro-lot; Brew: AeroPress, V60, Pour over, South Indian filter, Tasting flight / omakase; Prices: Automate your daily ritual. Choose your favorite roast, set your schedule, and save up to ₹200 OFF on every shipment.; Signals: Wholesale / cafe partners</t>
  </si>
  <si>
    <t xml:space="preserve">R067</t>
  </si>
  <si>
    <t xml:space="preserve">Kaapi La Roasters</t>
  </si>
  <si>
    <t xml:space="preserve">Specialty roaster</t>
  </si>
  <si>
    <t xml:space="preserve">Self-described pioneering Chandigarh roaster.</t>
  </si>
  <si>
    <t xml:space="preserve">https://kaapilaroasters.com/</t>
  </si>
  <si>
    <t xml:space="preserve">https://kaapilaroasters.com/discover-kaapi-la-chandigarhs-pioneering-specialty-coffee-roaster/</t>
  </si>
  <si>
    <t xml:space="preserve">R068</t>
  </si>
  <si>
    <t xml:space="preserve">Moonpeak Espresso</t>
  </si>
  <si>
    <t xml:space="preserve">'Only address for serious coffee'; roasts own.</t>
  </si>
  <si>
    <t xml:space="preserve">Brew: South Indian filter, Flat white; Prices: Moonpeak Espresso Best coffee Rs 80 to Rs 180 Weak</t>
  </si>
  <si>
    <t xml:space="preserve">R069</t>
  </si>
  <si>
    <t xml:space="preserve">Dylan's Toasted &amp; Roasted</t>
  </si>
  <si>
    <t xml:space="preserve">Old Manali</t>
  </si>
  <si>
    <t xml:space="preserve">'Legendary roastery in Old Manali'.</t>
  </si>
  <si>
    <t xml:space="preserve">https://thirdeyetraveller.com/dylans-toasted-and-roasted-coffee-house/</t>
  </si>
  <si>
    <t xml:space="preserve">R070</t>
  </si>
  <si>
    <t xml:space="preserve">Crafty Beanz Cafe and Roastery</t>
  </si>
  <si>
    <t xml:space="preserve">Top of Tripadvisor Leh coffee.</t>
  </si>
  <si>
    <t xml:space="preserve">https://www.tripadvisor.in/Restaurants-g297625-c8-Leh_Leh_District_Ladakh.html</t>
  </si>
  <si>
    <t xml:space="preserve">R071</t>
  </si>
  <si>
    <t xml:space="preserve">Rajasthan / Haryana</t>
  </si>
  <si>
    <t xml:space="preserve">Jaipur (+ Gurugram)</t>
  </si>
  <si>
    <t xml:space="preserve">Roaster-cafes</t>
  </si>
  <si>
    <t xml:space="preserve">Jaipur specialty pioneer; SO from India, Kenya, Rwanda.</t>
  </si>
  <si>
    <t xml:space="preserve">Imported origins: Vietnam; Processes / format: Single origin; Brew: V60, Pour over, Cold brew, South Indian filter; Prices: Coffee • ₹400 for two; ₹1100 for two</t>
  </si>
  <si>
    <t xml:space="preserve">R072</t>
  </si>
  <si>
    <t xml:space="preserve">Savorworks Coffee &amp; Chocolate</t>
  </si>
  <si>
    <t xml:space="preserve">Delhi / Haryana</t>
  </si>
  <si>
    <t xml:space="preserve">New Delhi (GK-2) / Gurugram (DLF Horizon Center)</t>
  </si>
  <si>
    <t xml:space="preserve">Roaster + bean-to-bar chocolate cafes</t>
  </si>
  <si>
    <t xml:space="preserve">Founders Baninder Singh &amp; Paweena Withyasathien.</t>
  </si>
  <si>
    <t xml:space="preserve">Baninder Singh, Paweena Withyasathien</t>
  </si>
  <si>
    <t xml:space="preserve">R073</t>
  </si>
  <si>
    <t xml:space="preserve">Craft Coffee India</t>
  </si>
  <si>
    <t xml:space="preserve">Roaster-cafe chain: Kolkata, Patna, Lucknow, Bengaluru, Raipur; Siliguri opening soon</t>
  </si>
  <si>
    <t xml:space="preserve">Started as Park Street kiosk 2021.</t>
  </si>
  <si>
    <t xml:space="preserve">@craftcoffeeindia</t>
  </si>
  <si>
    <t xml:space="preserve">https://www.instagram.com/craftcoffeeindia/</t>
  </si>
  <si>
    <t xml:space="preserve">R074</t>
  </si>
  <si>
    <t xml:space="preserve">Potboiler Coffee</t>
  </si>
  <si>
    <t xml:space="preserve">Roasts and brews; 10am–10pm.</t>
  </si>
  <si>
    <t xml:space="preserve">@potboilercoffee</t>
  </si>
  <si>
    <t xml:space="preserve">https://www.instagram.com/potboilercoffee/</t>
  </si>
  <si>
    <t xml:space="preserve">R075</t>
  </si>
  <si>
    <t xml:space="preserve">The Bean Co Roasters</t>
  </si>
  <si>
    <t xml:space="preserve">Only Kolkata roaster in ICB listing.</t>
  </si>
  <si>
    <t xml:space="preserve">Indian origins/estates: Karnataka, Chikmagalur, Kerala</t>
  </si>
  <si>
    <t xml:space="preserve">R076</t>
  </si>
  <si>
    <t xml:space="preserve">30 Days Coffee Roasters</t>
  </si>
  <si>
    <t xml:space="preserve">100% Arabica from Indian estates, roasted in Kolkata.</t>
  </si>
  <si>
    <t xml:space="preserve">@30dayscoffeeroasters</t>
  </si>
  <si>
    <t xml:space="preserve">https://www.instagram.com/30dayscoffeeroasters/</t>
  </si>
  <si>
    <t xml:space="preserve">R077</t>
  </si>
  <si>
    <t xml:space="preserve">Kollaborative Coffee Roasters</t>
  </si>
  <si>
    <t xml:space="preserve">Roaster-cafe, open late</t>
  </si>
  <si>
    <t xml:space="preserve">Self-described specialty roaster.</t>
  </si>
  <si>
    <t xml:space="preserve">@kollaborativecoffeeroasters</t>
  </si>
  <si>
    <t xml:space="preserve">https://www.instagram.com/kollaborativecoffeeroasters/</t>
  </si>
  <si>
    <t xml:space="preserve">R078</t>
  </si>
  <si>
    <t xml:space="preserve">Yours Truly Coffee Roasters</t>
  </si>
  <si>
    <t xml:space="preserve">15,000 sq ft cafe + roastery + coffee classroom (Ray Street, Bhawanipore)</t>
  </si>
  <si>
    <t xml:space="preserve">Feb 2026 feature.</t>
  </si>
  <si>
    <t xml:space="preserve">Peer; classroom = event partner.</t>
  </si>
  <si>
    <t xml:space="preserve">@yourstruly_coffee</t>
  </si>
  <si>
    <t xml:space="preserve">https://www.instagram.com/yourstruly_coffee/</t>
  </si>
  <si>
    <t xml:space="preserve">R079</t>
  </si>
  <si>
    <t xml:space="preserve">Koraput Coffee</t>
  </si>
  <si>
    <t xml:space="preserve">Koraput-origin coffee brand (official handle)</t>
  </si>
  <si>
    <t xml:space="preserve">Instagram ~3.5k followers.</t>
  </si>
  <si>
    <t xml:space="preserve">Odisha origin partner.</t>
  </si>
  <si>
    <t xml:space="preserve">@koraput_coffee</t>
  </si>
  <si>
    <t xml:space="preserve">https://www.instagram.com/koraput_coffee/</t>
  </si>
  <si>
    <t xml:space="preserve">R080</t>
  </si>
  <si>
    <t xml:space="preserve">Deomali Coffee Cafe &amp; Roastery</t>
  </si>
  <si>
    <t xml:space="preserve">Roaster-cafe (Jagamara)</t>
  </si>
  <si>
    <t xml:space="preserve">Single-origin Koraput Arabica.</t>
  </si>
  <si>
    <t xml:space="preserve">Peer — Odisha origin.</t>
  </si>
  <si>
    <t xml:space="preserve">https://deomalicoffee.in/</t>
  </si>
  <si>
    <t xml:space="preserve">Indian origins/estates: Coorg / Kodagu; Imported origins: Vietnam; Processes / format: Washed, Natural, Honey, Single origin; Brew: Cold brew, Flat white, Affogato; Prices: Clear all filters 90 items; Signals: Retail beans</t>
  </si>
  <si>
    <t xml:space="preserve">R081</t>
  </si>
  <si>
    <t xml:space="preserve">ODYSSA Coffee</t>
  </si>
  <si>
    <t xml:space="preserve">Koraput small-batch roaster turned retail brand; first coffee bar with LOOKS Salon, Patia</t>
  </si>
  <si>
    <t xml:space="preserve">Local Samosa brand feature; Sambad English on the Patia coffee bar.</t>
  </si>
  <si>
    <t xml:space="preserve">Peer / competitor in Odisha; Koraput lots.</t>
  </si>
  <si>
    <t xml:space="preserve">https://www.localsamosa.com/business/odyssa-coffee-10652672</t>
  </si>
  <si>
    <t xml:space="preserve">Indian origins/estates: Koraput</t>
  </si>
  <si>
    <t xml:space="preserve">R082</t>
  </si>
  <si>
    <t xml:space="preserve">Smokey Falls</t>
  </si>
  <si>
    <t xml:space="preserve">Micro-roastery + cafe initiative</t>
  </si>
  <si>
    <t xml:space="preserve">Curates regional beans.</t>
  </si>
  <si>
    <t xml:space="preserve">https://www.slurrp.com/article/after-tea-can-north-east-ace-coffee-cultivation-1663241066010</t>
  </si>
  <si>
    <t xml:space="preserve">R083</t>
  </si>
  <si>
    <t xml:space="preserve">Zizira</t>
  </si>
  <si>
    <t xml:space="preserve">Brand — traceable wild-grown Arabica</t>
  </si>
  <si>
    <t xml:space="preserve">Meghalaya highland coffee.</t>
  </si>
  <si>
    <t xml:space="preserve">R084</t>
  </si>
  <si>
    <t xml:space="preserve">7000 Steps Coffee</t>
  </si>
  <si>
    <t xml:space="preserve">Roaster (est. 2019) + store</t>
  </si>
  <si>
    <t xml:space="preserve">Smallholder farms across NE states; filter-focused. Wave 4b: Shillong Times (Jun 2025) — Shillong's new cafe wave pours local brands such as 7000 Steps.</t>
  </si>
  <si>
    <t xml:space="preserve">https://www.7000steps.com/</t>
  </si>
  <si>
    <t xml:space="preserve">https://www.7000steps.com/blogs/7000-steps-coffee/why-single-origin-coffee-from-indias-northeast-is-your-cafes-secret-weapon-2025</t>
  </si>
  <si>
    <t xml:space="preserve">Roasters named on its own pages: Zizira; Indian origins/estates: Nagaland, Meghalaya, Kerala; Processes / format: Single origin, Micro-lot, House blend, Washed, Natural; Varietals: Robusta; Brew: Pour over, Moka pot, Cold brew, AeroPress; Signals: Retail beans, Wholesale / cafe partners</t>
  </si>
  <si>
    <t xml:space="preserve">R085</t>
  </si>
  <si>
    <t xml:space="preserve">Smoky Falls Tribe Coffee</t>
  </si>
  <si>
    <t xml:space="preserve">Meghalaya coffee roaster (2015) + small cafe in OB Shopping Mall</t>
  </si>
  <si>
    <t xml:space="preserve">Indigenous Meghalaya coffee (MBDA, Govt of Meghalaya).</t>
  </si>
  <si>
    <t xml:space="preserve">Competitor / peer for Shillong cafes; source of Meghalaya lots.</t>
  </si>
  <si>
    <t xml:space="preserve">https://mbda.gov.in/smoky-falls-tribe-coffee-taking-meghalaya%E2%80%99s-high-quality-indigenous-coffee-world</t>
  </si>
  <si>
    <t xml:space="preserve">Indian origins/estates: Meghalaya</t>
  </si>
  <si>
    <t xml:space="preserve">R086</t>
  </si>
  <si>
    <t xml:space="preserve">Sikkim Coffee</t>
  </si>
  <si>
    <t xml:space="preserve">Roaster-cafe on MG Marg with its own roaster on site; local Sikkim beans</t>
  </si>
  <si>
    <t xml:space="preserve">'Own roasting set-up'; Americano and lattes; Tibetan-style room (EastMojo 2021, Wanderlog).</t>
  </si>
  <si>
    <t xml:space="preserve">Peer: swap / co-brand Northeast lots, or green lots for its roaster.</t>
  </si>
  <si>
    <t xml:space="preserve">https://eastmojo.com/sikkim/2021/04/20/gangtoks-best-coffee-spots-where-to-get-your-caffeine-hit/</t>
  </si>
  <si>
    <t xml:space="preserve">Listing and blog sources only.</t>
  </si>
  <si>
    <t xml:space="preserve">Indian origins/estates: Nagaland; Brew: Flat white</t>
  </si>
  <si>
    <t xml:space="preserve">R087</t>
  </si>
  <si>
    <t xml:space="preserve">Jüro Coffee House</t>
  </si>
  <si>
    <t xml:space="preserve">Chumoukedima (near Dimapur)</t>
  </si>
  <si>
    <t xml:space="preserve">Cafe with a live roastery (inaugurated 17 Jan 2025), CT Square, 7th Mile; parent Lithanro (2021); green beans from 12 Nagaland districts</t>
  </si>
  <si>
    <t xml:space="preserve">Roastery opened by Nagaland minister N. Jacob Zhimomi (Mokokchung Times).</t>
  </si>
  <si>
    <t xml:space="preserve">Peer / competitor; Nagaland lots.</t>
  </si>
  <si>
    <t xml:space="preserve">https://mokokchungtimes.com/juro-coffee-house-announces-the-opening-of-a-new-live-roaster-roastery-unit/?amp=1</t>
  </si>
  <si>
    <t xml:space="preserve">Indian origins/estates: Nagaland</t>
  </si>
  <si>
    <t xml:space="preserve">R088</t>
  </si>
  <si>
    <t xml:space="preserve">Shiro Roastery</t>
  </si>
  <si>
    <t xml:space="preserve">Roaster-cafe (Feb 2022), Walford Rd, Bank Colony: bean-to-cup, single origins, pour-over</t>
  </si>
  <si>
    <t xml:space="preserve">4.5 (227) on Yappe; covered by ThePrint's Nagaland cafe-boom feature.</t>
  </si>
  <si>
    <t xml:space="preserve">Peer in Dimapur: green lots or a Northeast co-roast.</t>
  </si>
  <si>
    <t xml:space="preserve">Rowang Debbarma (founder; ex-Amazon Prime photographer, Bengaluru)</t>
  </si>
  <si>
    <t xml:space="preserve">https://theprint.in/feature/dimapur-to-kohima-nagaland-cafe-boom-signals-there-is-peace/1101341</t>
  </si>
  <si>
    <t xml:space="preserve">Indian origins/estates: Nagaland; Processes / format: Single origin</t>
  </si>
  <si>
    <t xml:space="preserve">R089</t>
  </si>
  <si>
    <t xml:space="preserve">Été Coffee Roasters</t>
  </si>
  <si>
    <t xml:space="preserve">Roaster + coffee school</t>
  </si>
  <si>
    <t xml:space="preserve">'First specialty coffee roasting company in Northeast India'.</t>
  </si>
  <si>
    <t xml:space="preserve">Partner: NE origin collab / school channel.</t>
  </si>
  <si>
    <t xml:space="preserve">@ete_coffee</t>
  </si>
  <si>
    <t xml:space="preserve">https://www.instagram.com/ete_coffee/</t>
  </si>
  <si>
    <t xml:space="preserve">R090</t>
  </si>
  <si>
    <t xml:space="preserve">CountrybeanCoffee</t>
  </si>
  <si>
    <t xml:space="preserve">Mizoram coffee retail brand (₹325 pack)</t>
  </si>
  <si>
    <t xml:space="preserve">Mizoram origin partner.</t>
  </si>
  <si>
    <t xml:space="preserve">@countrybean_aizawl_official</t>
  </si>
  <si>
    <t xml:space="preserve">https://www.instagram.com/countrybean_aizawl_official/</t>
  </si>
  <si>
    <t xml:space="preserve">R091</t>
  </si>
  <si>
    <t xml:space="preserve">Bermiok Coffee Company</t>
  </si>
  <si>
    <t xml:space="preserve">Sikkim / West Bengal</t>
  </si>
  <si>
    <t xml:space="preserve">Darjeeling region</t>
  </si>
  <si>
    <t xml:space="preserve">Roasts Himalayan/Darjeeling artisan coffee.</t>
  </si>
  <si>
    <t xml:space="preserve">R092</t>
  </si>
  <si>
    <t xml:space="preserve">Bloom Coffee Roasters</t>
  </si>
  <si>
    <t xml:space="preserve">Wholesale to 150+ outlets; custom blends, training, cafe consultancy, coffee academy</t>
  </si>
  <si>
    <t xml:space="preserve">Supplies Overflow (Lucknow); lighter roasts of Indian single estates. Lists Hoysala and Kelachandra estate lots (washed/natural).</t>
  </si>
  <si>
    <t xml:space="preserve">Direct competitor for cafe accounts.</t>
  </si>
  <si>
    <t xml:space="preserve">@bloomcoffeeroastersindia</t>
  </si>
  <si>
    <t xml:space="preserve">https://www.instagram.com/bloomcoffeeroastersindia/</t>
  </si>
  <si>
    <t xml:space="preserve">https://www.thewaytocoffee.com/roasters/bloom-coffee-roasters</t>
  </si>
  <si>
    <t xml:space="preserve">Processes / format: Natural, Honey, Anaerobic, Single estate; Brew: AeroPress; Commodity brands: Nespresso; Signals: Wholesale / cafe partners</t>
  </si>
  <si>
    <t xml:space="preserve">R093</t>
  </si>
  <si>
    <t xml:space="preserve">KASA Coffee</t>
  </si>
  <si>
    <t xml:space="preserve">Specialty coffee service: wholesale roaster + distribution + barista training</t>
  </si>
  <si>
    <t xml:space="preserve">@kasa_coffee_</t>
  </si>
  <si>
    <t xml:space="preserve">https://www.instagram.com/kasa_coffee_/</t>
  </si>
  <si>
    <t xml:space="preserve">City not stated Wave 4: possibly linked to 'Kassa Coffee Bar' (KaCoBa, Narain Niwas Palace, Jaipur).</t>
  </si>
  <si>
    <t xml:space="preserve">R094</t>
  </si>
  <si>
    <t xml:space="preserve">NS Coffee Roastery</t>
  </si>
  <si>
    <t xml:space="preserve">Micro-roastery + single-origin-only coffee shop + barista/roasting training</t>
  </si>
  <si>
    <t xml:space="preserve">@nscoffeeroaster</t>
  </si>
  <si>
    <t xml:space="preserve">https://www.instagram.com/nscoffeeroaster/</t>
  </si>
  <si>
    <t xml:space="preserve">City not stated</t>
  </si>
  <si>
    <t xml:space="preserve">Category</t>
  </si>
  <si>
    <t xml:space="preserve">What it is</t>
  </si>
  <si>
    <t xml:space="preserve">How to use it</t>
  </si>
  <si>
    <t xml:space="preserve">Cafe consultant</t>
  </si>
  <si>
    <t xml:space="preserve">Arrow Hospitality Consulting</t>
  </si>
  <si>
    <t xml:space="preserve">Cafe setup consultancy for Mumbai, Pune, Ahmedabad, Surat, Kolhapur.</t>
  </si>
  <si>
    <t xml:space="preserve">Gets cafes before launch — ask to be their default specialty-bean recommendation.</t>
  </si>
  <si>
    <t xml:space="preserve">https://www.indiamart.com/arrowhospitalityconsulting/restaurant-and-cafe-franchise-consulting.html</t>
  </si>
  <si>
    <t xml:space="preserve">Kaapi Machines — Coffee Project Consulting</t>
  </si>
  <si>
    <t xml:space="preserve">Pan-India (Mumbai, Delhi NCR, Pune…)</t>
  </si>
  <si>
    <t xml:space="preserve">8–12 week concept-to-launch consulting; also sells equipment.</t>
  </si>
  <si>
    <t xml:space="preserve">Referral partner for new cafes.</t>
  </si>
  <si>
    <t xml:space="preserve">https://kaapimachines.com/coffee-consulting-services/</t>
  </si>
  <si>
    <t xml:space="preserve">https://kaapimachines.com/blogs/cafe-consulting/coffee-project-consulting/</t>
  </si>
  <si>
    <t xml:space="preserve">Kaapi Solutions</t>
  </si>
  <si>
    <t xml:space="preserve">Cafe setup consultancy + equipment + 'Barista Hire' job board.</t>
  </si>
  <si>
    <t xml:space="preserve">Job board shows which cafes are about to open.</t>
  </si>
  <si>
    <t xml:space="preserve">https://kaapisolutions.com/cafe-setup-consultancy/</t>
  </si>
  <si>
    <t xml:space="preserve">Westend Coffee — Cafe Consulting</t>
  </si>
  <si>
    <t xml:space="preserve">Pan-India</t>
  </si>
  <si>
    <t xml:space="preserve">Cafe consulting packages from ₹85,000.</t>
  </si>
  <si>
    <t xml:space="preserve">Referral partner.</t>
  </si>
  <si>
    <t xml:space="preserve">https://www.westendcoffee.co/cafe-consulting-services/</t>
  </si>
  <si>
    <t xml:space="preserve">Takumi Brewing Lab</t>
  </si>
  <si>
    <t xml:space="preserve">Specialty menu/recipe consulting (₹1.65L plan).</t>
  </si>
  <si>
    <t xml:space="preserve">Menu developers choose beans — partner.</t>
  </si>
  <si>
    <t xml:space="preserve">https://www.takumibrew.com/</t>
  </si>
  <si>
    <t xml:space="preserve">https://www.takumibrew.com/product/specialty-coffee-consulting-plan-signature-drinks/</t>
  </si>
  <si>
    <t xml:space="preserve">Barista academy</t>
  </si>
  <si>
    <t xml:space="preserve">Barista Training Academy</t>
  </si>
  <si>
    <t xml:space="preserve">New Delhi &amp; Chandigarh</t>
  </si>
  <si>
    <t xml:space="preserve">Barista certification + cafe consultancy.</t>
  </si>
  <si>
    <t xml:space="preserve">Supply training beans; referrals to graduates' new cafes.</t>
  </si>
  <si>
    <t xml:space="preserve">@barista.training.academy</t>
  </si>
  <si>
    <t xml:space="preserve">https://www.instagram.com/barista.training.academy/</t>
  </si>
  <si>
    <t xml:space="preserve">Barista Cafe Academy</t>
  </si>
  <si>
    <t xml:space="preserve">1,000+ baristas trained; works with cafe start-ups.</t>
  </si>
  <si>
    <t xml:space="preserve">@baristacafeacademy</t>
  </si>
  <si>
    <t xml:space="preserve">https://www.instagram.com/baristacafeacademy/</t>
  </si>
  <si>
    <t xml:space="preserve">Specialty Coffee Academy of India</t>
  </si>
  <si>
    <t xml:space="preserve">Skill-based barista training.</t>
  </si>
  <si>
    <t xml:space="preserve">Training-bean supply.</t>
  </si>
  <si>
    <t xml:space="preserve">@specialtycoffeeacademyindia</t>
  </si>
  <si>
    <t xml:space="preserve">https://www.instagram.com/specialtycoffeeacademyindia/</t>
  </si>
  <si>
    <t xml:space="preserve">Indian Barista Indore</t>
  </si>
  <si>
    <t xml:space="preserve">Barista training in Indore.</t>
  </si>
  <si>
    <t xml:space="preserve">Central India referral partner.</t>
  </si>
  <si>
    <t xml:space="preserve">@indian_barista</t>
  </si>
  <si>
    <t xml:space="preserve">https://www.instagram.com/indian_barista/</t>
  </si>
  <si>
    <t xml:space="preserve">Community</t>
  </si>
  <si>
    <t xml:space="preserve">Mumbai Coffee Collective</t>
  </si>
  <si>
    <t xml:space="preserve">Curated list of Mumbai specialty cafes/roasters.</t>
  </si>
  <si>
    <t xml:space="preserve">Get listed; events.</t>
  </si>
  <si>
    <t xml:space="preserve">https://mumbaicoffeecollective.com/</t>
  </si>
  <si>
    <t xml:space="preserve">Jaipur Coffee Community</t>
  </si>
  <si>
    <t xml:space="preserve">#AllThingsSpecialtyCoffee Instagram community.</t>
  </si>
  <si>
    <t xml:space="preserve">Cupping events, launch buzz.</t>
  </si>
  <si>
    <t xml:space="preserve">@jaipurcoffeecommunity</t>
  </si>
  <si>
    <t xml:space="preserve">https://www.instagram.com/jaipurcoffeecommunity/</t>
  </si>
  <si>
    <t xml:space="preserve">r/PuneCoffee</t>
  </si>
  <si>
    <t xml:space="preserve">Reddit community where new cafe founders post.</t>
  </si>
  <si>
    <t xml:space="preserve">Spot pre-launch founders.</t>
  </si>
  <si>
    <t xml:space="preserve">https://www.reddit.com/r/PuneCoffee/</t>
  </si>
  <si>
    <t xml:space="preserve">https://redlib.groet-infra.nl/r/PuneCoffee/new</t>
  </si>
  <si>
    <t xml:space="preserve">Marketplace</t>
  </si>
  <si>
    <t xml:space="preserve">Caramelly — Roaster Market</t>
  </si>
  <si>
    <t xml:space="preserve">Online</t>
  </si>
  <si>
    <t xml:space="preserve">Multi-roaster marketplace (lists Siolim, First Crack…).</t>
  </si>
  <si>
    <t xml:space="preserve">List retail bags.</t>
  </si>
  <si>
    <t xml:space="preserve">https://caramelly.in/collections/roaster-market</t>
  </si>
  <si>
    <t xml:space="preserve">Directory</t>
  </si>
  <si>
    <t xml:space="preserve">Indian Coffee Beans (ICB)</t>
  </si>
  <si>
    <t xml:space="preserve">Directory of 116+ Indian roasters, reviews.</t>
  </si>
  <si>
    <t xml:space="preserve">Get listed.</t>
  </si>
  <si>
    <t xml:space="preserve">Speciality Coffee Online — Pune map</t>
  </si>
  <si>
    <t xml:space="preserve">Map of 82 roasteries/cafes in Pune.</t>
  </si>
  <si>
    <t xml:space="preserve">Prospect list.</t>
  </si>
  <si>
    <t xml:space="preserve">https://specialitycoffeeonline.com/speciality-coffee-statistics/india/pune/</t>
  </si>
  <si>
    <t xml:space="preserve">Event</t>
  </si>
  <si>
    <t xml:space="preserve">World Tea &amp; Coffee Expo India 2026</t>
  </si>
  <si>
    <t xml:space="preserve">Bengaluru (28–30 Oct 2026)</t>
  </si>
  <si>
    <t xml:space="preserve">2,000–5,000 cafe operators and buyers.</t>
  </si>
  <si>
    <t xml:space="preserve">Meet North/West cafe founders in one place.</t>
  </si>
  <si>
    <t xml:space="preserve">https://www.withorbital.com/conferences/world-tea-and-coffee-expo-india-2026</t>
  </si>
  <si>
    <t xml:space="preserve">India International Coffee Festival (SCAI)</t>
  </si>
  <si>
    <t xml:space="preserve">Bengaluru (Feb, annual)</t>
  </si>
  <si>
    <t xml:space="preserve">SCA India + Coffee Board festival; national barista championships.</t>
  </si>
  <si>
    <t xml:space="preserve">Exhibit / sponsor championships.</t>
  </si>
  <si>
    <t xml:space="preserve">https://www.timeout.com/india/news/indias-biggest-coffee-festival-is-finally-back-in-bengaluru-021226</t>
  </si>
  <si>
    <t xml:space="preserve">Amado Academy</t>
  </si>
  <si>
    <t xml:space="preserve">Training arm of Cafe Amado.</t>
  </si>
  <si>
    <t xml:space="preserve">Training-bean supply; Central India referrals.</t>
  </si>
  <si>
    <t xml:space="preserve">@amadoacademy</t>
  </si>
  <si>
    <t xml:space="preserve">Goa Specialty Coffee</t>
  </si>
  <si>
    <t xml:space="preserve">Instagram community for Goa specialty coffee.</t>
  </si>
  <si>
    <t xml:space="preserve">Launch buzz in Goa.</t>
  </si>
  <si>
    <t xml:space="preserve">@goaspecialtycoffee</t>
  </si>
  <si>
    <t xml:space="preserve">https://www.instagram.com/goaspecialtycoffee/</t>
  </si>
  <si>
    <t xml:space="preserve">Cafes of Chandigarh / Cafes of Panchkula</t>
  </si>
  <si>
    <t xml:space="preserve">Chandigarh tricity</t>
  </si>
  <si>
    <t xml:space="preserve">Cafe-listing Instagram accounts.</t>
  </si>
  <si>
    <t xml:space="preserve">Launch buzz; spot new openings.</t>
  </si>
  <si>
    <t xml:space="preserve">@cafesofchandigarh / @cafesofpanchkula</t>
  </si>
  <si>
    <t xml:space="preserve">https://www.instagram.com/cafesofchandigarh/</t>
  </si>
  <si>
    <t xml:space="preserve">Udaipur Cafes</t>
  </si>
  <si>
    <t xml:space="preserve">Cafe feature account.</t>
  </si>
  <si>
    <t xml:space="preserve">Spot new openings.</t>
  </si>
  <si>
    <t xml:space="preserve">@cafesinudaipur</t>
  </si>
  <si>
    <t xml:space="preserve">https://www.instagram.com/cafesinudaipur/</t>
  </si>
  <si>
    <t xml:space="preserve">Producer</t>
  </si>
  <si>
    <t xml:space="preserve">Brown Valley Coffee</t>
  </si>
  <si>
    <t xml:space="preserve">Odisha (Koraput region)</t>
  </si>
  <si>
    <t xml:space="preserve">Coffee &amp; pepper plantations since 1993.</t>
  </si>
  <si>
    <t xml:space="preserve">Odisha green-coffee source / co-branded estate story.</t>
  </si>
  <si>
    <t xml:space="preserve">@brown_valley</t>
  </si>
  <si>
    <t xml:space="preserve">https://www.instagram.com/brown_valley/</t>
  </si>
  <si>
    <t xml:space="preserve">Coffee consultant</t>
  </si>
  <si>
    <t xml:space="preserve">Geetu Mohnani</t>
  </si>
  <si>
    <t xml:space="preserve">Coffee consultant who curated Pardon Our French's beverage programme.</t>
  </si>
  <si>
    <t xml:space="preserve">Consultants specify beans for several clients — get on her shortlist.</t>
  </si>
  <si>
    <t xml:space="preserve">https://thenodmag.com/content/pardon-our-french-pooja-dhingra-cafe-ballard-estate-mumbai-review</t>
  </si>
  <si>
    <t xml:space="preserve">Directory / marketplace</t>
  </si>
  <si>
    <t xml:space="preserve">The Way To Coffee</t>
  </si>
  <si>
    <t xml:space="preserve">Indian specialty bean-discovery directory with roaster and lot pages.</t>
  </si>
  <si>
    <t xml:space="preserve">List our estates and lots; cafes and home brewers browse it.</t>
  </si>
  <si>
    <t xml:space="preserve">https://www.thewaytocoffee.com</t>
  </si>
  <si>
    <t xml:space="preserve">Something's Brewing</t>
  </si>
  <si>
    <t xml:space="preserve">Multi-roaster retailer with a page per Indian roaster (Bloom, Corridor Seven…).</t>
  </si>
  <si>
    <t xml:space="preserve">Retail channel for our bags; also shows which roasters cafes can buy from.</t>
  </si>
  <si>
    <t xml:space="preserve">https://somethingsbrewing.in</t>
  </si>
  <si>
    <t xml:space="preserve">Directory / app</t>
  </si>
  <si>
    <t xml:space="preserve">Pulled</t>
  </si>
  <si>
    <t xml:space="preserve">Coffee check-in app that classifies cafes as specialty, city by city.</t>
  </si>
  <si>
    <t xml:space="preserve">Use its city pages to find new specialty cafes (Surat, Vadodara and more surfaced from it).</t>
  </si>
  <si>
    <t xml:space="preserve">https://www.pulled.coffee</t>
  </si>
  <si>
    <t xml:space="preserve">Indore Brewing Club</t>
  </si>
  <si>
    <t xml:space="preserve">Coffee community running workshops with local cafes.</t>
  </si>
  <si>
    <t xml:space="preserve">Sponsor a brewing workshop to reach Indore's specialty cafes.</t>
  </si>
  <si>
    <t xml:space="preserve">https://www.freepressjournal.in/indore/brewing-dreams-into-reality-meet-the-passionate-founders-of-indore-brewing-club-stirring-up-a-revolution-one-cup-at-a-time</t>
  </si>
  <si>
    <t xml:space="preserve">Producer / exporter</t>
  </si>
  <si>
    <t xml:space="preserve">Nagaland Coffee (Naga Coffee Pvt Ltd)</t>
  </si>
  <si>
    <t xml:space="preserve">Roasted + green Nagaland coffee; sole-exporter MoU with the Govt of Nagaland; Dimapur coffee shop (2018).</t>
  </si>
  <si>
    <t xml:space="preserve">Source / co-brand Nagaland lots, or a competitor for NE cafes.</t>
  </si>
  <si>
    <t xml:space="preserve">https://rootsandleisure.com/nagaland-coffee-shop-dimapur/</t>
  </si>
  <si>
    <t xml:space="preserve">Government programme</t>
  </si>
  <si>
    <t xml:space="preserve">Coffees of Nagaland mission</t>
  </si>
  <si>
    <t xml:space="preserve">Kohima</t>
  </si>
  <si>
    <t xml:space="preserve">₹175-crore central mission (launched 18 May 2026) to build a traceable single-origin specialty coffee economy: cluster farming, processing, branding, exports and coffee tourism; pilot clusters Tuophema (Arabica) and Ghotovi (Robusta).</t>
  </si>
  <si>
    <t xml:space="preserve">Source traceable Nagaland lots and use the mission's branding with Northeast cafes.</t>
  </si>
  <si>
    <t xml:space="preserve">https://morungexpress.com/coffees-of-nagaland-is-truly-a-whole-of-india-approach-bringing-all-stakeholders-together-scindia</t>
  </si>
  <si>
    <t xml:space="preserve">Producer / supplier</t>
  </si>
  <si>
    <t xml:space="preserve">ELK Business House — coffee experience centre</t>
  </si>
  <si>
    <t xml:space="preserve">Opened what it calls Northeast India's first coffee experience centre (Dec 2024): brewing demos and tastings.</t>
  </si>
  <si>
    <t xml:space="preserve">Mizoram's local supplier — a competitor for Aizawl cafes or a partner for tasting events.</t>
  </si>
  <si>
    <t xml:space="preserve">https://eastmojo.com/top-news/2024/12/10/mizoram-gets-northeast-indias-first-coffee-experience-centre/</t>
  </si>
  <si>
    <t xml:space="preserve">Operator</t>
  </si>
  <si>
    <t xml:space="preserve">Why excluded</t>
  </si>
  <si>
    <t xml:space="preserve">Third Wave Coffee</t>
  </si>
  <si>
    <t xml:space="preserve">National chain, own roastery (200+ cafes; entered Kolkata Jun 2026, Ahmedabad Nov 2025, Agra Mar 2026).</t>
  </si>
  <si>
    <t xml:space="preserve">Starbucks / Starbucks Reserve</t>
  </si>
  <si>
    <t xml:space="preserve">Global chain, own supply.</t>
  </si>
  <si>
    <t xml:space="preserve">Cafe Coffee Day, Barista, Costa, Tim Hortons</t>
  </si>
  <si>
    <t xml:space="preserve">Regular tier, commodity/central supply.</t>
  </si>
  <si>
    <t xml:space="preserve">Coffee Island (Greece)</t>
  </si>
  <si>
    <t xml:space="preserve">International chain; 20 cafes by Mar 2027 target; own supply.</t>
  </si>
  <si>
    <t xml:space="preserve">Coffeeshop Company (Austria)</t>
  </si>
  <si>
    <t xml:space="preserve">International chain; Delhi flagship Jan 2026.</t>
  </si>
  <si>
    <t xml:space="preserve">EL&amp;N (UK)</t>
  </si>
  <si>
    <t xml:space="preserve">International chain; Jio World Plaza Mumbai.</t>
  </si>
  <si>
    <t xml:space="preserve">Blenz Coffee (Canada)</t>
  </si>
  <si>
    <t xml:space="preserve">Master-franchise entry targeting Mumbai, Delhi NCR, Pune.</t>
  </si>
  <si>
    <t xml:space="preserve">Coffee Buddy (Philippines)</t>
  </si>
  <si>
    <t xml:space="preserve">Franchise chain; first India outlet Mumbai 2026.</t>
  </si>
  <si>
    <t xml:space="preserve">The Coffee Bean &amp; Tea Leaf</t>
  </si>
  <si>
    <t xml:space="preserve">International chain; Pune Seasons Mall.</t>
  </si>
  <si>
    <t xml:space="preserve">Nothing Before Coffee, Theka Coffee</t>
  </si>
  <si>
    <t xml:space="preserve">Budget chains.</t>
  </si>
  <si>
    <t xml:space="preserve">Roastery Coffee House</t>
  </si>
  <si>
    <t xml:space="preserve">Hyderabad-founded roaster chain (Lucknow, Agra Apr 2026, Noida, Kolkata, Jaipur, Delhi).</t>
  </si>
  <si>
    <t xml:space="preserve">Chelvies Coffee, Kobys Coffee, Coffea Jodhpur, Coffee Culture</t>
  </si>
  <si>
    <t xml:space="preserve">Chains with central sourcing / own roast.</t>
  </si>
  <si>
    <t xml:space="preserve">Indian Coffee House, United Coffee House</t>
  </si>
  <si>
    <t xml:space="preserve">Heritage regular tier.</t>
  </si>
  <si>
    <t xml:space="preserve">Lucky's Coffee Garage</t>
  </si>
  <si>
    <t xml:space="preserve">Not in India — Lucky's Coffee Garage is a multi-roaster cafe in Lebanon, New Hampshire, USA (Valley News, Jun 2026). Added in error from an Instagram search.</t>
  </si>
  <si>
    <t xml:space="preserve">Daily Daily Coffeemakers</t>
  </si>
  <si>
    <t xml:space="preserve">Not in India — Daily Daily Coffeemakers is in Auckland, New Zealand (Wanderlog). Added in error.</t>
  </si>
  <si>
    <t xml:space="preserve">Barista Diner</t>
  </si>
  <si>
    <t xml:space="preserve">Barista Coffee chain flagship format (its 5th 'Diner', Dal Lake, Srinagar) — Regular-tier chain.</t>
  </si>
  <si>
    <t xml:space="preserve">Cafe Buddy's Espresso — Thane</t>
  </si>
  <si>
    <t xml:space="preserve">Cafe Buddy's Espresso is a franchise chain — 92–100+ outlets worldwide, ₹20–30 lakh per franchise (Franchise India) — Regular tier, central menu.</t>
  </si>
  <si>
    <t xml:space="preserve">Cafe Buddy's Espresso — Kolkata</t>
  </si>
  <si>
    <t xml:space="preserve">Cafe Buddy's Espresso — Patna</t>
  </si>
  <si>
    <t xml:space="preserve">Barista Cafe Gwalior</t>
  </si>
  <si>
    <t xml:space="preserve">Barista-branded outlets (City Center, Jhansi Rd, Haveli Highway) — the Barista chain, or a look-alike using its name (one reviewer says it is not on the Barista app); Regular tier, poor coffee reviews.</t>
  </si>
  <si>
    <t xml:space="preserve">The Find Atelier</t>
  </si>
  <si>
    <t xml:space="preserve">A 24–25-seat weekend supper club in Bandra (sisters Aalisha &amp; Riona Sable; Homegrown, Slurrp), not a cafe.</t>
  </si>
  <si>
    <t xml:space="preserve">A roaster brand, not a cafe — moved to the Roasters sheet (wave 4b).</t>
  </si>
  <si>
    <t xml:space="preserve">Cafes (total)</t>
  </si>
  <si>
    <t xml:space="preserve">Priority A</t>
  </si>
  <si>
    <t xml:space="preserve">New / Upcoming</t>
  </si>
  <si>
    <t xml:space="preserve">Total</t>
  </si>
  <si>
    <t xml:space="preserve">City / cluster</t>
  </si>
  <si>
    <t xml:space="preserve">Search depth</t>
  </si>
  <si>
    <t xml:space="preserve">Leads (cafes)</t>
  </si>
  <si>
    <t xml:space="preserve">How it was searched</t>
  </si>
  <si>
    <t xml:space="preserve">Note</t>
  </si>
  <si>
    <t xml:space="preserve">Deep</t>
  </si>
  <si>
    <t xml:space="preserve">Monthly roundups Oct 2025–Oct 2026 (Foodies of India, Esquire, Curly Tales, The Nod, Time Out); IG neighbourhood sweeps; trade press</t>
  </si>
  <si>
    <t xml:space="preserve">Largest lead pool; many new cafes don't publish roasters</t>
  </si>
  <si>
    <t xml:space="preserve">Medium</t>
  </si>
  <si>
    <t xml:space="preserve">Guides (District, Coffeegearguides, Yukio), Curly Tales Pune, IG neighbourhood sweeps, r/PuneCoffee</t>
  </si>
  <si>
    <t xml:space="preserve">Few 2026 specialty openings reported</t>
  </si>
  <si>
    <t xml:space="preserve">Thane / Navi Mumbai</t>
  </si>
  <si>
    <t xml:space="preserve">IG sweep + local guides</t>
  </si>
  <si>
    <t xml:space="preserve">Nagpur Today 2026 ranking, IG sweep</t>
  </si>
  <si>
    <t xml:space="preserve">IG sweep, Zomato</t>
  </si>
  <si>
    <t xml:space="preserve">Chh. Sambhajinagar / Kolhapur / Solapur</t>
  </si>
  <si>
    <t xml:space="preserve">Light</t>
  </si>
  <si>
    <t xml:space="preserve">IG sweep</t>
  </si>
  <si>
    <t xml:space="preserve">No specialty-grade cafe confirmed</t>
  </si>
  <si>
    <t xml:space="preserve">Lonavala / Alibaug / Karjat / Mahabaleshwar</t>
  </si>
  <si>
    <t xml:space="preserve">Web + Tripadvisor</t>
  </si>
  <si>
    <t xml:space="preserve">Aeka's (Alibag) only specialty lead</t>
  </si>
  <si>
    <t xml:space="preserve">Guides (District Oct 2026, Knocksense), IG sweep</t>
  </si>
  <si>
    <t xml:space="preserve">Guides + IG sweep</t>
  </si>
  <si>
    <t xml:space="preserve">Zomato + IG sweep</t>
  </si>
  <si>
    <t xml:space="preserve">Gandhinagar / GIFT City / Bhavnagar</t>
  </si>
  <si>
    <t xml:space="preserve">Thin</t>
  </si>
  <si>
    <t xml:space="preserve">Web + IG</t>
  </si>
  <si>
    <t xml:space="preserve">Nothing found</t>
  </si>
  <si>
    <t xml:space="preserve">North Goa</t>
  </si>
  <si>
    <t xml:space="preserve">District, Barista Magazine, StayVista, IG</t>
  </si>
  <si>
    <t xml:space="preserve">South Goa</t>
  </si>
  <si>
    <t xml:space="preserve">Tripadvisor, Flamingo guide</t>
  </si>
  <si>
    <t xml:space="preserve">Knocksense, Zomato, IG sweep</t>
  </si>
  <si>
    <t xml:space="preserve">Jabalpur / Gwalior</t>
  </si>
  <si>
    <t xml:space="preserve">Ujjain</t>
  </si>
  <si>
    <t xml:space="preserve">IG + web</t>
  </si>
  <si>
    <t xml:space="preserve">Raipur / Bhilai / Bilaspur</t>
  </si>
  <si>
    <t xml:space="preserve">More Over Coffee is the only specialty brand</t>
  </si>
  <si>
    <t xml:space="preserve">OT guides, District, Restaurant India, IG sweeps</t>
  </si>
  <si>
    <t xml:space="preserve">Udaipur / Jodhpur</t>
  </si>
  <si>
    <t xml:space="preserve">Local guides + IG</t>
  </si>
  <si>
    <t xml:space="preserve">Kota / Ajmer / Bikaner</t>
  </si>
  <si>
    <t xml:space="preserve">Nothing specialty found (Alchemist has an Ajmer cafe)</t>
  </si>
  <si>
    <t xml:space="preserve">Monthly roundups (The Nod, Lab Mag, Curly Tales), OT Pours, BrewAtlas, IG neighbourhood sweeps</t>
  </si>
  <si>
    <t xml:space="preserve">Restaurant India, Nod, Lab Mag, IG sweeps</t>
  </si>
  <si>
    <t xml:space="preserve">Noida / Greater Noida / Ghaziabad</t>
  </si>
  <si>
    <t xml:space="preserve">District, magicpin, IG</t>
  </si>
  <si>
    <t xml:space="preserve">Local guide</t>
  </si>
  <si>
    <t xml:space="preserve">Chandigarh / Mohali / Panchkula</t>
  </si>
  <si>
    <t xml:space="preserve">District, travell.cc, chdlife, IG sweep</t>
  </si>
  <si>
    <t xml:space="preserve">Ludhiana / Amritsar / Jalandhar</t>
  </si>
  <si>
    <t xml:space="preserve">dinediary, Restaurant Guru, IG sweep</t>
  </si>
  <si>
    <t xml:space="preserve">Jammu &amp; Kashmir</t>
  </si>
  <si>
    <t xml:space="preserve">Srinagar / Jammu</t>
  </si>
  <si>
    <t xml:space="preserve">IG + Charzan guide</t>
  </si>
  <si>
    <t xml:space="preserve">Jammu: nothing found</t>
  </si>
  <si>
    <t xml:space="preserve">Tripadvisor, Wanderlog</t>
  </si>
  <si>
    <t xml:space="preserve">McLeodganj / Manali / Kasol / Shimla / Bir / Kasauli</t>
  </si>
  <si>
    <t xml:space="preserve">Seasonal tourist cafes</t>
  </si>
  <si>
    <t xml:space="preserve">Dehradun / Rishikesh / Mussoorie</t>
  </si>
  <si>
    <t xml:space="preserve">Knocksense, District, IG sweep</t>
  </si>
  <si>
    <t xml:space="preserve">Varanasi / Kanpur / Agra / Prayagraj / Meerut</t>
  </si>
  <si>
    <t xml:space="preserve">Meerut: nothing found</t>
  </si>
  <si>
    <t xml:space="preserve">t2, District, IG neighbourhood sweeps</t>
  </si>
  <si>
    <t xml:space="preserve">Siliguri / Darjeeling</t>
  </si>
  <si>
    <t xml:space="preserve">IG + Tripadvisor</t>
  </si>
  <si>
    <t xml:space="preserve">Bhubaneswar / Cuttack</t>
  </si>
  <si>
    <t xml:space="preserve">Zomato, IG</t>
  </si>
  <si>
    <t xml:space="preserve">Cuttack: nothing found</t>
  </si>
  <si>
    <t xml:space="preserve">Listings + IG</t>
  </si>
  <si>
    <t xml:space="preserve">Ranchi / Jamshedpur</t>
  </si>
  <si>
    <t xml:space="preserve">IG</t>
  </si>
  <si>
    <t xml:space="preserve">Jamshedpur: nothing found</t>
  </si>
  <si>
    <t xml:space="preserve">Tripadvisor, Yappe, IG</t>
  </si>
  <si>
    <t xml:space="preserve">Wanderon, xtsy, IG</t>
  </si>
  <si>
    <t xml:space="preserve">Axomor, Travelsetu, IG</t>
  </si>
  <si>
    <t xml:space="preserve">Kohima / Dimapur</t>
  </si>
  <si>
    <t xml:space="preserve">Local guide + IG</t>
  </si>
  <si>
    <t xml:space="preserve">Manipur / Tripura / Arunachal</t>
  </si>
  <si>
    <t xml:space="preserve">Imphal / Agartala / Itanagar</t>
  </si>
  <si>
    <t xml:space="preserve">Itanagar: nothing found</t>
  </si>
  <si>
    <t xml:space="preserve">Platform</t>
  </si>
  <si>
    <t xml:space="preserve">What was searched</t>
  </si>
  <si>
    <t xml:space="preserve">What it yielded</t>
  </si>
  <si>
    <t xml:space="preserve">Limits</t>
  </si>
  <si>
    <t xml:space="preserve">Per-city sweeps ('specialty coffee &lt;city&gt;', 'coming soon') and one search per lead name.</t>
  </si>
  <si>
    <t xml:space="preserve">Most handles in this file; 'coming soon' / relaunch posts (Coffee Bond, Brewtown, Cafe Serenity, Craft Coffee Siliguri, Lento Pune); multi-roaster bios (Pilgrim, Coffee Therapy Artisan, Lucky's, Daily Daily, Specialty Coffee House); bio phone numbers.</t>
  </si>
  <si>
    <t xml:space="preserve">Search index lags new accounts; DMs are the main contact route for small cafes.</t>
  </si>
  <si>
    <t xml:space="preserve">Company pages for roasters/chains; founder 'launching our cafe' posts; cafe hiring posts.</t>
  </si>
  <si>
    <t xml:space="preserve">Company pages (Blue Tokai, Subko, KC Roasters, Half Light, Toffee, KaCoBa, 93 Degrees); founders; hiring signals (The Coffee Project Nagpur, Blue Tokai Punjab/Haryana).</t>
  </si>
  <si>
    <t xml:space="preserve">Small cafes rarely have pages; profiles of individuals listed only where they are public founders/brand pages.</t>
  </si>
  <si>
    <t xml:space="preserve">News / trade press</t>
  </si>
  <si>
    <t xml:space="preserve">Restaurant India, Indian Retailer, Franchise India, World Coffee Portal, Hotelier India, BW Hotelier, ANI/ThePrint.</t>
  </si>
  <si>
    <t xml:space="preserve">Dated openings (Oro, Jacob's Brew House, Momoka, Pour Over Santushti, Gram Street, Cocoa &amp; Katli, Stand By Juhu, Coffee Capital).</t>
  </si>
  <si>
    <t xml:space="preserve">Press-release driven: favours funded brands.</t>
  </si>
  <si>
    <t xml:space="preserve">Monthly openings roundups (wave 2)</t>
  </si>
  <si>
    <t xml:space="preserve">Foodies of India (Mumbai, Oct 2025–Oct 2026 monthly), Knocksense (Lucknow / Indore / Ahmedabad), The Lab Mag + Curly Tales + The Nod (Delhi NCR monthly), t2 (Kolkata cafe alerts).</t>
  </si>
  <si>
    <t xml:space="preserve">~60 more 2025–26 openings (JOKER, Rola, Brevé, KĀPIBAR, Grahm, Tsubaki, MUVN, Belsta, Javaphile, Lizzu, Off Mrkt, Kokoy, One PourCent, Batter Bar, Cháfé Braz…).</t>
  </si>
  <si>
    <t xml:space="preserve">Small new cafes rarely publish their roaster — profiled as 'Not published' with an ask-on-contact strategy.</t>
  </si>
  <si>
    <t xml:space="preserve">City food media</t>
  </si>
  <si>
    <t xml:space="preserve">The Nod, Outlook Traveller (OT Pours), Curly Tales, The Lab Mag, LBB, Time Out, Esquire, Free Press Journal, t2 (Kolkata), Elle Decor.</t>
  </si>
  <si>
    <t xml:space="preserve">Monthly 'new openings' lists: The Drop, Therefore, In Good Co., ATE Omakase, Odd Culture, Traut, Flameback, Lento Pune.</t>
  </si>
  <si>
    <t xml:space="preserve">Covers metros far better than Tier-2 cities.</t>
  </si>
  <si>
    <t xml:space="preserve">District / Zomato / EazyDiner / Tripadvisor</t>
  </si>
  <si>
    <t xml:space="preserve">City specialty guides, listings for addresses and ratings.</t>
  </si>
  <si>
    <t xml:space="preserve">Addresses, ratings, price-for-two (Toise, Traut, Pull and Pour, Kulture, Pilgrim).</t>
  </si>
  <si>
    <t xml:space="preserve">Phone numbers mostly behind app; not scraped.</t>
  </si>
  <si>
    <t xml:space="preserve">Reddit</t>
  </si>
  <si>
    <t xml:space="preserve">r/PuneCoffee and city coffee threads.</t>
  </si>
  <si>
    <t xml:space="preserve">Pre-launch founder post (Viman Nagar, Pune).</t>
  </si>
  <si>
    <t xml:space="preserve">Few city subs are active.</t>
  </si>
  <si>
    <t xml:space="preserve">Job boards</t>
  </si>
  <si>
    <t xml:space="preserve">Glassdoor, Apna, Foundit, Weekday barista listings.</t>
  </si>
  <si>
    <t xml:space="preserve">Hiring = opening soon signal (Kerb Coffee Co., Basque by breve, Bhatia Speciality Coffee LLP, 729 Grams).</t>
  </si>
  <si>
    <t xml:space="preserve">Employer names sometimes legal entities.</t>
  </si>
  <si>
    <t xml:space="preserve">Directories</t>
  </si>
  <si>
    <t xml:space="preserve">Indian Coffee Beans, Indian Coffee Guide, Speciality Coffee Online, BrewAtlas, Wanderlog.</t>
  </si>
  <si>
    <t xml:space="preserve">Roaster lists by city; wholesale terms of competitors (BROOT, Rossette).</t>
  </si>
  <si>
    <t xml:space="preserve">Some directory entries could not be corroborated (flagged).</t>
  </si>
  <si>
    <t xml:space="preserve">Searched '&lt;name&gt; email contact' for priority leads.</t>
  </si>
  <si>
    <t xml:space="preserve">Few cafes publish email (Artsy, PICO, Roastery Coffee House). Instagram DM / phone is the realistic first touch.</t>
  </si>
  <si>
    <t xml:space="preserve">No email has been guessed or constructed — blank means not published.</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</si>
</sst>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0"/>
      <color rgb="FFFFFFFF"/>
      <name val="Arial"/>
      <family val="0"/>
      <charset val="1"/>
    </font>
    <font>
      <u val="single"/>
      <sz val="10"/>
      <color rgb="FF1F4E9E"/>
      <name val="Arial"/>
      <family val="0"/>
      <charset val="1"/>
    </font>
  </fonts>
  <fills count="3">
    <fill>
      <patternFill patternType="none"/>
    </fill>
    <fill>
      <patternFill patternType="gray125"/>
    </fill>
    <fill>
      <patternFill patternType="solid">
        <fgColor rgb="FF3B2A20"/>
        <bgColor rgb="FF333300"/>
      </patternFill>
    </fill>
  </fills>
  <borders count="2">
    <border diagonalUp="false" diagonalDown="false">
      <left/>
      <right/>
      <top/>
      <bottom/>
      <diagonal/>
    </border>
    <border diagonalUp="false" diagonalDown="false">
      <left/>
      <right/>
      <top/>
      <bottom style="thin">
        <color rgb="FFD9D2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3B2A20"/>
          <bgColor rgb="FF000000"/>
        </patternFill>
      </fill>
    </dxf>
    <dxf>
      <fill>
        <patternFill patternType="solid">
          <fgColor rgb="FFE3F1DF"/>
          <bgColor rgb="FF000000"/>
        </patternFill>
      </fill>
    </dxf>
    <dxf>
      <fill>
        <patternFill patternType="solid">
          <fgColor rgb="FFFDE2E1"/>
          <bgColor rgb="FF000000"/>
        </patternFill>
      </fill>
    </dxf>
    <dxf>
      <fill>
        <patternFill patternType="solid">
          <bgColor rgb="FF000000"/>
        </patternFill>
      </fill>
    </dxf>
    <dxf>
      <fill>
        <patternFill patternType="solid">
          <fgColor rgb="FFFFFFFF"/>
          <bgColor rgb="FF000000"/>
        </patternFill>
      </fill>
    </dxf>
    <dxf>
      <fill>
        <patternFill patternType="solid">
          <fgColor rgb="FFFBEFD9"/>
          <bgColor rgb="FF000000"/>
        </patternFill>
      </fill>
    </dxf>
    <dxf>
      <fill>
        <patternFill patternType="solid">
          <fgColor rgb="FF1F4E9E"/>
          <bgColor rgb="FF000000"/>
        </patternFill>
      </fill>
    </dxf>
    <dxf>
      <fill>
        <patternFill>
          <bgColor rgb="FFFDE2E1"/>
        </patternFill>
      </fill>
    </dxf>
    <dxf>
      <fill>
        <patternFill>
          <bgColor rgb="FFE3F1DF"/>
        </patternFill>
      </fill>
    </dxf>
    <dxf>
      <fill>
        <patternFill>
          <bgColor rgb="FFFBEF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9"/>
      <rgbColor rgb="FF808080"/>
      <rgbColor rgb="FF9999FF"/>
      <rgbColor rgb="FF993366"/>
      <rgbColor rgb="FFFBEF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1DF"/>
      <rgbColor rgb="FFFFFF99"/>
      <rgbColor rgb="FF99CCFF"/>
      <rgbColor rgb="FFFF99CC"/>
      <rgbColor rgb="FFCC99FF"/>
      <rgbColor rgb="FFFDE2E1"/>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9E"/>
      <rgbColor rgb="FF3B2A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reddit.com/r/PuneCoffee/new/" TargetMode="External"/><Relationship Id="rId2" Type="http://schemas.openxmlformats.org/officeDocument/2006/relationships/hyperlink" Target="https://www.instagram.com/coffeebond/" TargetMode="External"/><Relationship Id="rId3" Type="http://schemas.openxmlformats.org/officeDocument/2006/relationships/hyperlink" Target="https://www.instagram.com/coffeebond/" TargetMode="External"/><Relationship Id="rId4" Type="http://schemas.openxmlformats.org/officeDocument/2006/relationships/hyperlink" Target="https://www.timeout.com/mumbai/news/boojee-cafe-is-opening-a-new-outlet-at-one-bkc-in-mumbai-082026" TargetMode="External"/><Relationship Id="rId5" Type="http://schemas.openxmlformats.org/officeDocument/2006/relationships/hyperlink" Target="https://www.instagram.com/cafeserenity_pune/" TargetMode="External"/><Relationship Id="rId6" Type="http://schemas.openxmlformats.org/officeDocument/2006/relationships/hyperlink" Target="https://www.instagram.com/cafeserenity_pune/" TargetMode="External"/><Relationship Id="rId7" Type="http://schemas.openxmlformats.org/officeDocument/2006/relationships/hyperlink" Target="https://www.instagram.com/coffeecapital__/" TargetMode="External"/><Relationship Id="rId8" Type="http://schemas.openxmlformats.org/officeDocument/2006/relationships/hyperlink" Target="https://www.restaurantindia.in/news/restaurant-india-news-coffee-capital-launches-in-mumbai-with-34-cover-speciality-caf-format.n15399" TargetMode="External"/><Relationship Id="rId9" Type="http://schemas.openxmlformats.org/officeDocument/2006/relationships/hyperlink" Target="https://foodiesofindia.wordpress.com/2026/03/01/new-restaurants-in-mumbai-march-2026-round-up-25-new-openings/" TargetMode="External"/><Relationship Id="rId10" Type="http://schemas.openxmlformats.org/officeDocument/2006/relationships/hyperlink" Target="https://foodiesofindia.wordpress.com/2026/08/04/new-restaurants-cafes-in-mumbai-august-2026/" TargetMode="External"/><Relationship Id="rId11" Type="http://schemas.openxmlformats.org/officeDocument/2006/relationships/hyperlink" Target="https://aspecthospitality.in/" TargetMode="External"/><Relationship Id="rId12" Type="http://schemas.openxmlformats.org/officeDocument/2006/relationships/hyperlink" Target="https://www.restaurantindia.in/news/aspect-hospitality-expands-fb-portfolio-with-joker-in-bandra.n16905" TargetMode="External"/><Relationship Id="rId13" Type="http://schemas.openxmlformats.org/officeDocument/2006/relationships/hyperlink" Target="https://www.instagram.com/kink.coffee/" TargetMode="External"/><Relationship Id="rId14" Type="http://schemas.openxmlformats.org/officeDocument/2006/relationships/hyperlink" Target="https://foodiesofindia.wordpress.com/2026/01/15/january-2026-30-new-restaurants-cafes-in-mumbai-you-need-to-check-out/" TargetMode="External"/><Relationship Id="rId15" Type="http://schemas.openxmlformats.org/officeDocument/2006/relationships/hyperlink" Target="https://foodiesofindia.wordpress.com/2026/08/04/new-restaurants-cafes-in-mumbai-august-2026/" TargetMode="External"/><Relationship Id="rId16" Type="http://schemas.openxmlformats.org/officeDocument/2006/relationships/hyperlink" Target="https://foodiesofindia.wordpress.com/2026/04/02/20-new-restaurants-in-mumbai-to-check-out-april-2026/" TargetMode="External"/><Relationship Id="rId17" Type="http://schemas.openxmlformats.org/officeDocument/2006/relationships/hyperlink" Target="https://www.instagram.com/standbycoffee__/" TargetMode="External"/><Relationship Id="rId18" Type="http://schemas.openxmlformats.org/officeDocument/2006/relationships/hyperlink" Target="https://indianretailer.com/news/stand-coffee-expands-mumbai-footprint-new-juhu-outlet" TargetMode="External"/><Relationship Id="rId19" Type="http://schemas.openxmlformats.org/officeDocument/2006/relationships/hyperlink" Target="https://www.restaurantindia.in/news/thought-coffee-opens-bandra-flagship-as-mumbai-quick-service-coffee-market-expands.n17296" TargetMode="External"/><Relationship Id="rId20" Type="http://schemas.openxmlformats.org/officeDocument/2006/relationships/hyperlink" Target="https://foodiesofindia.wordpress.com/2026/06/01/june-2026-new-restaurants-in-mumbai-you-need-to-visit/" TargetMode="External"/><Relationship Id="rId21" Type="http://schemas.openxmlformats.org/officeDocument/2006/relationships/hyperlink" Target="https://www.instagram.com/cafelento.in/" TargetMode="External"/><Relationship Id="rId22" Type="http://schemas.openxmlformats.org/officeDocument/2006/relationships/hyperlink" Target="https://yourstory.com/ys-life/the-second-house-goa-lento-cafe" TargetMode="External"/><Relationship Id="rId23" Type="http://schemas.openxmlformats.org/officeDocument/2006/relationships/hyperlink" Target="https://www.instagram.com/momoka.india/" TargetMode="External"/><Relationship Id="rId24" Type="http://schemas.openxmlformats.org/officeDocument/2006/relationships/hyperlink" Target="https://www.restaurantindia.in/news/momoka-opens-japanese-kissaten-inspired-caf-on-punes-prabhat-road.n16884" TargetMode="External"/><Relationship Id="rId25" Type="http://schemas.openxmlformats.org/officeDocument/2006/relationships/hyperlink" Target="https://www.district.in/blog/speciality-coffee-cafes-goa" TargetMode="External"/><Relationship Id="rId26" Type="http://schemas.openxmlformats.org/officeDocument/2006/relationships/hyperlink" Target="https://www.instagram.com/moreovercoffee_india/" TargetMode="External"/><Relationship Id="rId27" Type="http://schemas.openxmlformats.org/officeDocument/2006/relationships/hyperlink" Target="https://www.instagram.com/moreovercoffee_india/" TargetMode="External"/><Relationship Id="rId28" Type="http://schemas.openxmlformats.org/officeDocument/2006/relationships/hyperlink" Target="https://www.instagram.com/carbon.jaipur/" TargetMode="External"/><Relationship Id="rId29" Type="http://schemas.openxmlformats.org/officeDocument/2006/relationships/hyperlink" Target="https://www.restaurantindia.in/news/carbon-opens-third-caf-in-jaipur-with-new-vaishali-nagar-outlet.n16924" TargetMode="External"/><Relationship Id="rId30" Type="http://schemas.openxmlformats.org/officeDocument/2006/relationships/hyperlink" Target="https://thenodmag.com/content/jacobs-brew-house-jaipur-cafe-coffee-house-review" TargetMode="External"/><Relationship Id="rId31" Type="http://schemas.openxmlformats.org/officeDocument/2006/relationships/hyperlink" Target="https://www.eazydiner.com/jaipur/traut-coffee-house-vidhyut-nagar-jaipur-719695" TargetMode="External"/><Relationship Id="rId32" Type="http://schemas.openxmlformats.org/officeDocument/2006/relationships/hyperlink" Target="https://www.outlooktraveller.com/ot-pours/traut-coffee-house-opens-doors-as-jaipurs-newest-coffee-hotspot" TargetMode="External"/><Relationship Id="rId33" Type="http://schemas.openxmlformats.org/officeDocument/2006/relationships/hyperlink" Target="https://www.thelabmagofficial.com/new-restaurants-cafes-and-bars-to-try-across-india-this-september/" TargetMode="External"/><Relationship Id="rId34" Type="http://schemas.openxmlformats.org/officeDocument/2006/relationships/hyperlink" Target="https://thenodmag.com/content/the-drop-hauz-khas-delhi-indian-specialty-coffee-roastery-review" TargetMode="External"/><Relationship Id="rId35" Type="http://schemas.openxmlformats.org/officeDocument/2006/relationships/hyperlink" Target="https://www.instagram.com/ingoodcoindia/" TargetMode="External"/><Relationship Id="rId36" Type="http://schemas.openxmlformats.org/officeDocument/2006/relationships/hyperlink" Target="https://thenodmag.com/content/where-to-eat-this-june-in-delhi-ncr" TargetMode="External"/><Relationship Id="rId37" Type="http://schemas.openxmlformats.org/officeDocument/2006/relationships/hyperlink" Target="https://passcodehospitality.com/drop" TargetMode="External"/><Relationship Id="rId38" Type="http://schemas.openxmlformats.org/officeDocument/2006/relationships/hyperlink" Target="https://www.outlooktraveller.com/ot-pours/drop-in-at-the-drop-and-find-your-jaws-dropped" TargetMode="External"/><Relationship Id="rId39" Type="http://schemas.openxmlformats.org/officeDocument/2006/relationships/hyperlink" Target="https://www.outlooktraveller.com/ot-pours" TargetMode="External"/><Relationship Id="rId40" Type="http://schemas.openxmlformats.org/officeDocument/2006/relationships/hyperlink" Target="https://www.instagram.com/ate_altogetherexperimental/" TargetMode="External"/><Relationship Id="rId41" Type="http://schemas.openxmlformats.org/officeDocument/2006/relationships/hyperlink" Target="https://thenodmag.com/content/new-restaurants-bars-menus-delhi-may-2026" TargetMode="External"/><Relationship Id="rId42" Type="http://schemas.openxmlformats.org/officeDocument/2006/relationships/hyperlink" Target="https://www.restaurantindia.in/news/oro-opens-flagship-specialty-coffee-caf-in-gurugram.n17284" TargetMode="External"/><Relationship Id="rId43" Type="http://schemas.openxmlformats.org/officeDocument/2006/relationships/hyperlink" Target="https://www.knocksense.com/lucknow/5-new-coffee-spots-in-lucknow-worth-adding-to-your-caf&#233;-hopping-list" TargetMode="External"/><Relationship Id="rId44" Type="http://schemas.openxmlformats.org/officeDocument/2006/relationships/hyperlink" Target="https://www.knocksense.com/lucknow/5-new-coffee-spots-in-lucknow-worth-adding-to-your-caf&#233;-hopping-list" TargetMode="External"/><Relationship Id="rId45" Type="http://schemas.openxmlformats.org/officeDocument/2006/relationships/hyperlink" Target="https://t2online.in/goodlife/food-beverage/flameback-cafe---kitchen-is-where-global-flavours-pair-up-with-world-coffee--t2-checked-it-out/2001719" TargetMode="External"/><Relationship Id="rId46" Type="http://schemas.openxmlformats.org/officeDocument/2006/relationships/hyperlink" Target="https://www.restaurantindia.in/news/restaurant-india-news-brev-opens-new-flagship-caf-in-bandra-expands-community-focused-coffee-concept.n16397" TargetMode="External"/><Relationship Id="rId47" Type="http://schemas.openxmlformats.org/officeDocument/2006/relationships/hyperlink" Target="https://www.instagram.com/cocoaandkatli/" TargetMode="External"/><Relationship Id="rId48" Type="http://schemas.openxmlformats.org/officeDocument/2006/relationships/hyperlink" Target="https://aninews.in/news/business/harsh-kedia-and-arihant-jain-launch-cocoa-amp-katli-a-caf233-that-redefines-mindful-indulgence-for-the-conscious-mumbaikar20261021121947/" TargetMode="External"/><Relationship Id="rId49" Type="http://schemas.openxmlformats.org/officeDocument/2006/relationships/hyperlink" Target="https://www.restaurantindia.in/news/restaurant-india-news-javaphile-caf-opens-in-worli-mumbai.n14931" TargetMode="External"/><Relationship Id="rId50" Type="http://schemas.openxmlformats.org/officeDocument/2006/relationships/hyperlink" Target="https://foodiesofindia.wordpress.com/2026/04/02/20-new-restaurants-in-mumbai-to-check-out-april-2026/" TargetMode="External"/><Relationship Id="rId51" Type="http://schemas.openxmlformats.org/officeDocument/2006/relationships/hyperlink" Target="https://indianretailer.com/news/rola-opens-new-all-day-diner-bandra" TargetMode="External"/><Relationship Id="rId52" Type="http://schemas.openxmlformats.org/officeDocument/2006/relationships/hyperlink" Target="https://oteats.outlooktraveller.com/features/guides/jaipur-is-entering-its-coffee-smart-era-and-these-spots-prove-it" TargetMode="External"/><Relationship Id="rId53" Type="http://schemas.openxmlformats.org/officeDocument/2006/relationships/hyperlink" Target="https://www.oteats.outlooktraveller.com/features/guides/delhis-newest-openings-that-you-must-look-out-for-this-february" TargetMode="External"/><Relationship Id="rId54" Type="http://schemas.openxmlformats.org/officeDocument/2006/relationships/hyperlink" Target="https://www.thelabmagofficial.com/new-tables-for-october-the-delhi-ncr-restaurants-cafes-and-bars-to-try/" TargetMode="External"/><Relationship Id="rId55" Type="http://schemas.openxmlformats.org/officeDocument/2006/relationships/hyperlink" Target="https://www.thelabmagofficial.com/new-restaurants-cafes-and-bars-to-try-across-india-this-september/" TargetMode="External"/><Relationship Id="rId56" Type="http://schemas.openxmlformats.org/officeDocument/2006/relationships/hyperlink" Target="https://www.restaurantindia.in/news/restaurant-india-news-kokoy-launches-caf-in-gurugram-enters-premium-all-day-dining-segment.n14880" TargetMode="External"/><Relationship Id="rId57" Type="http://schemas.openxmlformats.org/officeDocument/2006/relationships/hyperlink" Target="https://www.thelabmagofficial.com/new-tables-for-october-the-delhi-ncr-restaurants-cafes-and-bars-to-try/" TargetMode="External"/><Relationship Id="rId58" Type="http://schemas.openxmlformats.org/officeDocument/2006/relationships/hyperlink" Target="https://www.knocksense.com/lucknow/5-new-coffee-spots-in-lucknow-worth-adding-to-your-caf&#233;-hopping-list" TargetMode="External"/><Relationship Id="rId59" Type="http://schemas.openxmlformats.org/officeDocument/2006/relationships/hyperlink" Target="https://realtynmore.com/batter-bar-coffee-cafe-at-cp67-mohali/" TargetMode="External"/><Relationship Id="rId60" Type="http://schemas.openxmlformats.org/officeDocument/2006/relationships/hyperlink" Target="https://www.instagram.com/brewhaus.ranchi/" TargetMode="External"/><Relationship Id="rId61" Type="http://schemas.openxmlformats.org/officeDocument/2006/relationships/hyperlink" Target="https://www.instagram.com/brewhaus.ranchi/" TargetMode="External"/><Relationship Id="rId62" Type="http://schemas.openxmlformats.org/officeDocument/2006/relationships/hyperlink" Target="https://www.indianretailer.com/news/cafe-quattro-opens-second-mumbai-cafe-mumbai" TargetMode="External"/><Relationship Id="rId63" Type="http://schemas.openxmlformats.org/officeDocument/2006/relationships/hyperlink" Target="https://www.mansworldindia.com/lifestyle/mw-restaurant-update-every-place-you-need-to-check-out-in-mumbai-right-now" TargetMode="External"/><Relationship Id="rId64" Type="http://schemas.openxmlformats.org/officeDocument/2006/relationships/hyperlink" Target="https://foodiesofindia.wordpress.com/2026/01/15/january-2026-30-new-restaurants-cafes-in-mumbai-you-need-to-check-out/" TargetMode="External"/><Relationship Id="rId65" Type="http://schemas.openxmlformats.org/officeDocument/2006/relationships/hyperlink" Target="https://www.esquireindia.co.in/food-and-drinks/what-to-eat/from-rola-to-the-mahjong-club-9-new-restaurants-and-caf&#233;s-in-mumbai-to-try-this-september" TargetMode="External"/><Relationship Id="rId66" Type="http://schemas.openxmlformats.org/officeDocument/2006/relationships/hyperlink" Target="https://foodiesofindia.wordpress.com/2026/02/01/february-2026-new-restaurants-in-mumbai-you-need-to-try/" TargetMode="External"/><Relationship Id="rId67" Type="http://schemas.openxmlformats.org/officeDocument/2006/relationships/hyperlink" Target="https://www.restaurantindia.in/news/notfar-opens-in-bandra-with-specialty-cookies-cupcakes-and-coffee.n16686" TargetMode="External"/><Relationship Id="rId68" Type="http://schemas.openxmlformats.org/officeDocument/2006/relationships/hyperlink" Target="https://www.instagram.com/namah.mumbai/" TargetMode="External"/><Relationship Id="rId69" Type="http://schemas.openxmlformats.org/officeDocument/2006/relationships/hyperlink" Target="https://foodiesofindia.wordpress.com/2026/06/01/june-2026-new-restaurants-in-mumbai-you-need-to-visit/" TargetMode="External"/><Relationship Id="rId70" Type="http://schemas.openxmlformats.org/officeDocument/2006/relationships/hyperlink" Target="https://www.thestylelist.in/post/new-restaurants-cafes-bars-india" TargetMode="External"/><Relationship Id="rId71" Type="http://schemas.openxmlformats.org/officeDocument/2006/relationships/hyperlink" Target="https://foodiesofindia.wordpress.com/tag/new-restaurants-in-mumbai/" TargetMode="External"/><Relationship Id="rId72" Type="http://schemas.openxmlformats.org/officeDocument/2006/relationships/hyperlink" Target="https://www.esquireindia.co.in/food-and-drinks/what-to-eat/from-rola-to-the-mahjong-club-9-new-restaurants-and-caf&#233;s-in-mumbai-to-try-this-september" TargetMode="External"/><Relationship Id="rId73" Type="http://schemas.openxmlformats.org/officeDocument/2006/relationships/hyperlink" Target="https://www.thestylelist.in/post/new-restaurants-cafes-bars-india" TargetMode="External"/><Relationship Id="rId74" Type="http://schemas.openxmlformats.org/officeDocument/2006/relationships/hyperlink" Target="https://www.restaurantindia.in/news/vanilla-miel-opens-second-mumbai-caf-at-lodha-signet-lower-parel.n17346" TargetMode="External"/><Relationship Id="rId75" Type="http://schemas.openxmlformats.org/officeDocument/2006/relationships/hyperlink" Target="https://crushcoffee.vercel.app/" TargetMode="External"/><Relationship Id="rId76" Type="http://schemas.openxmlformats.org/officeDocument/2006/relationships/hyperlink" Target="https://crushcoffee.vercel.app/" TargetMode="External"/><Relationship Id="rId77" Type="http://schemas.openxmlformats.org/officeDocument/2006/relationships/hyperlink" Target="https://www.restaurantindia.in/news/restaurant-india-news-aami-caf-bistro-opens-its-doors-in-candolim-goa.n16290" TargetMode="External"/><Relationship Id="rId78" Type="http://schemas.openxmlformats.org/officeDocument/2006/relationships/hyperlink" Target="https://travellerscoop.com/must-try-new-restaurants-in-goa-openings/" TargetMode="External"/><Relationship Id="rId79" Type="http://schemas.openxmlformats.org/officeDocument/2006/relationships/hyperlink" Target="https://oteats.outlooktraveller.com/features/guides/jaipur-is-entering-its-coffee-smart-era-and-these-spots-prove-it" TargetMode="External"/><Relationship Id="rId80" Type="http://schemas.openxmlformats.org/officeDocument/2006/relationships/hyperlink" Target="https://www.thelabmagofficial.com/best-new-restaurants-cafes-bars-in-india-to-visit-in-august-2026/" TargetMode="External"/><Relationship Id="rId81" Type="http://schemas.openxmlformats.org/officeDocument/2006/relationships/hyperlink" Target="https://www.worldcoffeeportal.com/news/indias-fes-cafe-appoints-former-blue-tokai-executive-following-1m-fundraise/" TargetMode="External"/><Relationship Id="rId82" Type="http://schemas.openxmlformats.org/officeDocument/2006/relationships/hyperlink" Target="https://www.thelabmagofficial.com/new-tables-for-october-the-delhi-ncr-restaurants-cafes-and-bars-to-try/" TargetMode="External"/><Relationship Id="rId83" Type="http://schemas.openxmlformats.org/officeDocument/2006/relationships/hyperlink" Target="https://lbb.in/delhi/best-restaurants-cafes-delhi/" TargetMode="External"/><Relationship Id="rId84" Type="http://schemas.openxmlformats.org/officeDocument/2006/relationships/hyperlink" Target="https://indianretailer.com/news/butterhands-makes-delhi-ncr-debut-flagship-store-saket" TargetMode="External"/><Relationship Id="rId85" Type="http://schemas.openxmlformats.org/officeDocument/2006/relationships/hyperlink" Target="https://www.knocksense.com/lucknow/5-new-coffee-spots-in-lucknow-worth-adding-to-your-caf&#233;-hopping-list" TargetMode="External"/><Relationship Id="rId86" Type="http://schemas.openxmlformats.org/officeDocument/2006/relationships/hyperlink" Target="https://zipbiz.in/hidden-cafes-chandigarh-mohali/" TargetMode="External"/><Relationship Id="rId87" Type="http://schemas.openxmlformats.org/officeDocument/2006/relationships/hyperlink" Target="https://www.timeout.com/mumbai/news/angry-toast-bandras-new-sandwich-shop-has-its-own-coffee-roastery-071626" TargetMode="External"/><Relationship Id="rId88" Type="http://schemas.openxmlformats.org/officeDocument/2006/relationships/hyperlink" Target="https://foodiesofindia.wordpress.com/2026/08/04/new-restaurants-cafes-in-mumbai-august-2026/" TargetMode="External"/><Relationship Id="rId89" Type="http://schemas.openxmlformats.org/officeDocument/2006/relationships/hyperlink" Target="https://foodiesofindia.wordpress.com/2026/02/01/february-2026-new-restaurants-in-mumbai-you-need-to-try/" TargetMode="External"/><Relationship Id="rId90" Type="http://schemas.openxmlformats.org/officeDocument/2006/relationships/hyperlink" Target="https://foodiesofindia.wordpress.com/2026/07/01/new-restaurants-in-mumbai-july-2026-roundup/" TargetMode="External"/><Relationship Id="rId91" Type="http://schemas.openxmlformats.org/officeDocument/2006/relationships/hyperlink" Target="https://foodiesofindia.wordpress.com/2026/08/04/new-restaurants-cafes-in-mumbai-august-2026/" TargetMode="External"/><Relationship Id="rId92" Type="http://schemas.openxmlformats.org/officeDocument/2006/relationships/hyperlink" Target="https://curlytales.com/india/food/new-mumbai-restaurants-in-october-youll-want-to-tell-your-friends-about/" TargetMode="External"/><Relationship Id="rId93" Type="http://schemas.openxmlformats.org/officeDocument/2006/relationships/hyperlink" Target="https://in.linkedin.com/jobs/cafe-jobs-pune" TargetMode="External"/><Relationship Id="rId94" Type="http://schemas.openxmlformats.org/officeDocument/2006/relationships/hyperlink" Target="https://curlytales.com/india/food/victorian-themed-cafe-to-k-drama-like-eatery-new-restaurants-to-try-in-pune-this-february/" TargetMode="External"/><Relationship Id="rId95" Type="http://schemas.openxmlformats.org/officeDocument/2006/relationships/hyperlink" Target="https://curlytales.com/india/food/victorian-themed-cafe-to-k-drama-like-eatery-new-restaurants-to-try-in-pune-this-february/" TargetMode="External"/><Relationship Id="rId96" Type="http://schemas.openxmlformats.org/officeDocument/2006/relationships/hyperlink" Target="https://www.knocksense.com/ahmedabad/9-new-restaurants-in-ahmedabad-bringing-fresh-flavours-to-the-table" TargetMode="External"/><Relationship Id="rId97" Type="http://schemas.openxmlformats.org/officeDocument/2006/relationships/hyperlink" Target="https://curlytales.com/india/food/enjoy-different-vibes-under-one-roof-at-ahmedabads-new-cafe-insitu/" TargetMode="External"/><Relationship Id="rId98" Type="http://schemas.openxmlformats.org/officeDocument/2006/relationships/hyperlink" Target="https://travellerscoop.com/must-try-new-restaurants-in-goa-openings/" TargetMode="External"/><Relationship Id="rId99" Type="http://schemas.openxmlformats.org/officeDocument/2006/relationships/hyperlink" Target="https://thenodmag.com/content/delhi-ncr-new-restaurants-bars-food-menus-july-2026" TargetMode="External"/><Relationship Id="rId100" Type="http://schemas.openxmlformats.org/officeDocument/2006/relationships/hyperlink" Target="https://thenodmag.com/content/new-restaurants-bars-openings-february-2026-mumbai-delhi-bengaluru-goa" TargetMode="External"/><Relationship Id="rId101" Type="http://schemas.openxmlformats.org/officeDocument/2006/relationships/hyperlink" Target="https://www.thelabmagofficial.com/new-tables-for-october-the-delhi-ncr-restaurants-cafes-and-bars-to-try/" TargetMode="External"/><Relationship Id="rId102" Type="http://schemas.openxmlformats.org/officeDocument/2006/relationships/hyperlink" Target="https://t2online.in/goodlife/food-beverage/whizz-coffee-from-craft-coffee-box-is-brewing-a-new-sip-culture-where-artisanal-cups-meet-affordable-prices/2008421" TargetMode="External"/><Relationship Id="rId103" Type="http://schemas.openxmlformats.org/officeDocument/2006/relationships/hyperlink" Target="https://www.instagram.com/cafe138_/" TargetMode="External"/><Relationship Id="rId104" Type="http://schemas.openxmlformats.org/officeDocument/2006/relationships/hyperlink" Target="https://www.instagram.com/cafe138_/" TargetMode="External"/><Relationship Id="rId105" Type="http://schemas.openxmlformats.org/officeDocument/2006/relationships/hyperlink" Target="https://foodiesofindia.wordpress.com/2025/11/03/25-new-restaurants-cafes-in-mumbai-you-need-to-try-this-november-2025/" TargetMode="External"/><Relationship Id="rId106" Type="http://schemas.openxmlformats.org/officeDocument/2006/relationships/hyperlink" Target="https://foodiesofindia.wordpress.com/2025/10/01/25-new-restaurants-cafes-to-check-out-in-mumbai-this-october-2025/" TargetMode="External"/><Relationship Id="rId107" Type="http://schemas.openxmlformats.org/officeDocument/2006/relationships/hyperlink" Target="https://foodiesofindia.wordpress.com/2025/10/01/25-new-restaurants-cafes-to-check-out-in-mumbai-this-october-2025/" TargetMode="External"/><Relationship Id="rId108" Type="http://schemas.openxmlformats.org/officeDocument/2006/relationships/hyperlink" Target="https://curlytales.com/india/food/cafe-hoppers-rejoice-gujarats-biggest-cafe-komo-by-kaffa-opens-in-ahmedabad/" TargetMode="External"/><Relationship Id="rId109"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instagram.com/linzz.csn/" TargetMode="External"/><Relationship Id="rId2" Type="http://schemas.openxmlformats.org/officeDocument/2006/relationships/hyperlink" Target="https://www.instagram.com/linzz.csn/" TargetMode="External"/><Relationship Id="rId3" Type="http://schemas.openxmlformats.org/officeDocument/2006/relationships/hyperlink" Target="http://www.esspressoh.com/" TargetMode="External"/><Relationship Id="rId4" Type="http://schemas.openxmlformats.org/officeDocument/2006/relationships/hyperlink" Target="http://esspressoh.com/about-us/" TargetMode="External"/><Relationship Id="rId5" Type="http://schemas.openxmlformats.org/officeDocument/2006/relationships/hyperlink" Target="https://www.instagram.com/nomeatnaan_bakery/" TargetMode="External"/><Relationship Id="rId6" Type="http://schemas.openxmlformats.org/officeDocument/2006/relationships/hyperlink" Target="https://www.instagram.com/nomeatnaan_bakery/" TargetMode="External"/><Relationship Id="rId7" Type="http://schemas.openxmlformats.org/officeDocument/2006/relationships/hyperlink" Target="https://www.coffeesanskruti.com/" TargetMode="External"/><Relationship Id="rId8" Type="http://schemas.openxmlformats.org/officeDocument/2006/relationships/hyperlink" Target="https://www.coffeesanskruti.com/" TargetMode="External"/><Relationship Id="rId9" Type="http://schemas.openxmlformats.org/officeDocument/2006/relationships/hyperlink" Target="https://www.instagram.com/graindecafe_kolhapur/" TargetMode="External"/><Relationship Id="rId10" Type="http://schemas.openxmlformats.org/officeDocument/2006/relationships/hyperlink" Target="https://www.instagram.com/graindecafe_kolhapur/" TargetMode="External"/><Relationship Id="rId11" Type="http://schemas.openxmlformats.org/officeDocument/2006/relationships/hyperlink" Target="https://www.instagram.com/the.treaat.coffee_kolhapur/" TargetMode="External"/><Relationship Id="rId12" Type="http://schemas.openxmlformats.org/officeDocument/2006/relationships/hyperlink" Target="https://www.instagram.com/the.treaat.coffee_kolhapur/" TargetMode="External"/><Relationship Id="rId13" Type="http://schemas.openxmlformats.org/officeDocument/2006/relationships/hyperlink" Target="https://www.restaurantindia.in/news/restaurant-india-news-brev-opens-new-flagship-caf-in-bandra-expands-community-focused-coffee-concept.n16397" TargetMode="External"/><Relationship Id="rId14" Type="http://schemas.openxmlformats.org/officeDocument/2006/relationships/hyperlink" Target="https://www.instagram.com/cocoaandkatli/" TargetMode="External"/><Relationship Id="rId15" Type="http://schemas.openxmlformats.org/officeDocument/2006/relationships/hyperlink" Target="https://aninews.in/news/business/harsh-kedia-and-arihant-jain-launch-cocoa-amp-katli-a-caf233-that-redefines-mindful-indulgence-for-the-conscious-mumbaikar20261021121947/" TargetMode="External"/><Relationship Id="rId16" Type="http://schemas.openxmlformats.org/officeDocument/2006/relationships/hyperlink" Target="https://www.restaurantindia.in/news/restaurant-india-news-javaphile-caf-opens-in-worli-mumbai.n14931" TargetMode="External"/><Relationship Id="rId17" Type="http://schemas.openxmlformats.org/officeDocument/2006/relationships/hyperlink" Target="https://foodiesofindia.wordpress.com/2026/04/02/20-new-restaurants-in-mumbai-to-check-out-april-2026/" TargetMode="External"/><Relationship Id="rId18" Type="http://schemas.openxmlformats.org/officeDocument/2006/relationships/hyperlink" Target="https://indianretailer.com/news/rola-opens-new-all-day-diner-bandra" TargetMode="External"/><Relationship Id="rId19" Type="http://schemas.openxmlformats.org/officeDocument/2006/relationships/hyperlink" Target="https://www.instagram.com/coffeecapital__/" TargetMode="External"/><Relationship Id="rId20" Type="http://schemas.openxmlformats.org/officeDocument/2006/relationships/hyperlink" Target="https://www.restaurantindia.in/news/restaurant-india-news-coffee-capital-launches-in-mumbai-with-34-cover-speciality-caf-format.n15399" TargetMode="External"/><Relationship Id="rId21" Type="http://schemas.openxmlformats.org/officeDocument/2006/relationships/hyperlink" Target="https://foodiesofindia.wordpress.com/2025/11/03/25-new-restaurants-cafes-in-mumbai-you-need-to-try-this-november-2025/" TargetMode="External"/><Relationship Id="rId22" Type="http://schemas.openxmlformats.org/officeDocument/2006/relationships/hyperlink" Target="https://foodiesofindia.wordpress.com/2026/03/01/new-restaurants-in-mumbai-march-2026-round-up-25-new-openings/" TargetMode="External"/><Relationship Id="rId23" Type="http://schemas.openxmlformats.org/officeDocument/2006/relationships/hyperlink" Target="https://foodiesofindia.wordpress.com/2026/08/04/new-restaurants-cafes-in-mumbai-august-2026/" TargetMode="External"/><Relationship Id="rId24" Type="http://schemas.openxmlformats.org/officeDocument/2006/relationships/hyperlink" Target="https://aspecthospitality.in/" TargetMode="External"/><Relationship Id="rId25" Type="http://schemas.openxmlformats.org/officeDocument/2006/relationships/hyperlink" Target="https://www.restaurantindia.in/news/aspect-hospitality-expands-fb-portfolio-with-joker-in-bandra.n16905" TargetMode="External"/><Relationship Id="rId26" Type="http://schemas.openxmlformats.org/officeDocument/2006/relationships/hyperlink" Target="https://www.localspecialtycoffee.com/cities/specialty-coffee-mumbai/single-origin" TargetMode="External"/><Relationship Id="rId27" Type="http://schemas.openxmlformats.org/officeDocument/2006/relationships/hyperlink" Target="https://www.instagram.com/kink.coffee/" TargetMode="External"/><Relationship Id="rId28" Type="http://schemas.openxmlformats.org/officeDocument/2006/relationships/hyperlink" Target="https://foodiesofindia.wordpress.com/2026/01/15/january-2026-30-new-restaurants-cafes-in-mumbai-you-need-to-check-out/" TargetMode="External"/><Relationship Id="rId29" Type="http://schemas.openxmlformats.org/officeDocument/2006/relationships/hyperlink" Target="https://foodiesofindia.wordpress.com/2026/08/04/new-restaurants-cafes-in-mumbai-august-2026/" TargetMode="External"/><Relationship Id="rId30" Type="http://schemas.openxmlformats.org/officeDocument/2006/relationships/hyperlink" Target="https://foodiesofindia.wordpress.com/2026/04/02/20-new-restaurants-in-mumbai-to-check-out-april-2026/" TargetMode="External"/><Relationship Id="rId31" Type="http://schemas.openxmlformats.org/officeDocument/2006/relationships/hyperlink" Target="https://www.instagram.com/standbycoffee__/" TargetMode="External"/><Relationship Id="rId32" Type="http://schemas.openxmlformats.org/officeDocument/2006/relationships/hyperlink" Target="https://indianretailer.com/news/stand-coffee-expands-mumbai-footprint-new-juhu-outlet" TargetMode="External"/><Relationship Id="rId33" Type="http://schemas.openxmlformats.org/officeDocument/2006/relationships/hyperlink" Target="https://www.restaurantindia.in/news/thought-coffee-opens-bandra-flagship-as-mumbai-quick-service-coffee-market-expands.n17296" TargetMode="External"/><Relationship Id="rId34" Type="http://schemas.openxmlformats.org/officeDocument/2006/relationships/hyperlink" Target="https://foodiesofindia.wordpress.com/2026/06/01/june-2026-new-restaurants-in-mumbai-you-need-to-visit/" TargetMode="External"/><Relationship Id="rId35" Type="http://schemas.openxmlformats.org/officeDocument/2006/relationships/hyperlink" Target="https://foodiesofindia.wordpress.com/2025/10/01/25-new-restaurants-cafes-to-check-out-in-mumbai-this-october-2025/" TargetMode="External"/><Relationship Id="rId36" Type="http://schemas.openxmlformats.org/officeDocument/2006/relationships/hyperlink" Target="https://www.indianretailer.com/news/cafe-quattro-opens-second-mumbai-cafe-mumbai" TargetMode="External"/><Relationship Id="rId37" Type="http://schemas.openxmlformats.org/officeDocument/2006/relationships/hyperlink" Target="https://www.mansworldindia.com/lifestyle/mw-restaurant-update-every-place-you-need-to-check-out-in-mumbai-right-now" TargetMode="External"/><Relationship Id="rId38" Type="http://schemas.openxmlformats.org/officeDocument/2006/relationships/hyperlink" Target="https://foodiesofindia.wordpress.com/2026/01/15/january-2026-30-new-restaurants-cafes-in-mumbai-you-need-to-check-out/" TargetMode="External"/><Relationship Id="rId39" Type="http://schemas.openxmlformats.org/officeDocument/2006/relationships/hyperlink" Target="https://www.glassdoor.co.in/Job/mumbai-barista-jobs-SRCH_IL.0,6_IC2851180_KO7,14.htm" TargetMode="External"/><Relationship Id="rId40" Type="http://schemas.openxmlformats.org/officeDocument/2006/relationships/hyperlink" Target="https://www.esquireindia.co.in/food-and-drinks/what-to-eat/from-rola-to-the-mahjong-club-9-new-restaurants-and-caf&#233;s-in-mumbai-to-try-this-september" TargetMode="External"/><Relationship Id="rId41" Type="http://schemas.openxmlformats.org/officeDocument/2006/relationships/hyperlink" Target="https://foodiesofindia.wordpress.com/2026/02/01/february-2026-new-restaurants-in-mumbai-you-need-to-try/" TargetMode="External"/><Relationship Id="rId42" Type="http://schemas.openxmlformats.org/officeDocument/2006/relationships/hyperlink" Target="https://www.instagram.com/mazicoffee/" TargetMode="External"/><Relationship Id="rId43" Type="http://schemas.openxmlformats.org/officeDocument/2006/relationships/hyperlink" Target="https://www.instagram.com/mazicoffee/" TargetMode="External"/><Relationship Id="rId44" Type="http://schemas.openxmlformats.org/officeDocument/2006/relationships/hyperlink" Target="https://www.district.in/blog/speciality-coffee-spots-mumbai" TargetMode="External"/><Relationship Id="rId45" Type="http://schemas.openxmlformats.org/officeDocument/2006/relationships/hyperlink" Target="https://www.instagram.com/mumbaiblondie/" TargetMode="External"/><Relationship Id="rId46" Type="http://schemas.openxmlformats.org/officeDocument/2006/relationships/hyperlink" Target="https://www.restaurantindia.in/news/bastian-hospitality-enters-coffee-space-with-blondie.n12554" TargetMode="External"/><Relationship Id="rId47" Type="http://schemas.openxmlformats.org/officeDocument/2006/relationships/hyperlink" Target="https://www.restaurantindia.in/news/notfar-opens-in-bandra-with-specialty-cookies-cupcakes-and-coffee.n16686" TargetMode="External"/><Relationship Id="rId48" Type="http://schemas.openxmlformats.org/officeDocument/2006/relationships/hyperlink" Target="https://www.instagram.com/namah.mumbai/" TargetMode="External"/><Relationship Id="rId49" Type="http://schemas.openxmlformats.org/officeDocument/2006/relationships/hyperlink" Target="https://foodiesofindia.wordpress.com/2026/06/01/june-2026-new-restaurants-in-mumbai-you-need-to-visit/" TargetMode="External"/><Relationship Id="rId50" Type="http://schemas.openxmlformats.org/officeDocument/2006/relationships/hyperlink" Target="https://www.thestylelist.in/post/new-restaurants-cafes-bars-india" TargetMode="External"/><Relationship Id="rId51" Type="http://schemas.openxmlformats.org/officeDocument/2006/relationships/hyperlink" Target="https://foodiesofindia.wordpress.com/tag/new-restaurants-in-mumbai/" TargetMode="External"/><Relationship Id="rId52" Type="http://schemas.openxmlformats.org/officeDocument/2006/relationships/hyperlink" Target="https://www.esquireindia.co.in/food-and-drinks/what-to-eat/from-rola-to-the-mahjong-club-9-new-restaurants-and-caf&#233;s-in-mumbai-to-try-this-september" TargetMode="External"/><Relationship Id="rId53" Type="http://schemas.openxmlformats.org/officeDocument/2006/relationships/hyperlink" Target="https://www.thestylelist.in/post/new-restaurants-cafes-bars-india" TargetMode="External"/><Relationship Id="rId54" Type="http://schemas.openxmlformats.org/officeDocument/2006/relationships/hyperlink" Target="https://www.restaurantindia.in/news/vanilla-miel-opens-second-mumbai-caf-at-lodha-signet-lower-parel.n17346" TargetMode="External"/><Relationship Id="rId55" Type="http://schemas.openxmlformats.org/officeDocument/2006/relationships/hyperlink" Target="https://www.timeout.com/mumbai/news/boojee-cafe-is-opening-a-new-outlet-at-one-bkc-in-mumbai-082026" TargetMode="External"/><Relationship Id="rId56" Type="http://schemas.openxmlformats.org/officeDocument/2006/relationships/hyperlink" Target="https://mumbaicoffeecollective.com/pages/specialty-coffee-mumbai" TargetMode="External"/><Relationship Id="rId57" Type="http://schemas.openxmlformats.org/officeDocument/2006/relationships/hyperlink" Target="https://www.instagram.com/sheltercafe.mumbai/" TargetMode="External"/><Relationship Id="rId58" Type="http://schemas.openxmlformats.org/officeDocument/2006/relationships/hyperlink" Target="https://www.instagram.com/sheltercafe.mumbai/" TargetMode="External"/><Relationship Id="rId59" Type="http://schemas.openxmlformats.org/officeDocument/2006/relationships/hyperlink" Target="https://www.instagram.com/thebrewcafemumbai/" TargetMode="External"/><Relationship Id="rId60" Type="http://schemas.openxmlformats.org/officeDocument/2006/relationships/hyperlink" Target="https://www.instagram.com/thebrewcafemumbai/" TargetMode="External"/><Relationship Id="rId61" Type="http://schemas.openxmlformats.org/officeDocument/2006/relationships/hyperlink" Target="https://www.instagram.com/bokkacoffeemumbai/" TargetMode="External"/><Relationship Id="rId62" Type="http://schemas.openxmlformats.org/officeDocument/2006/relationships/hyperlink" Target="https://www.instagram.com/bokkacoffeemumbai/" TargetMode="External"/><Relationship Id="rId63" Type="http://schemas.openxmlformats.org/officeDocument/2006/relationships/hyperlink" Target="https://foodiesofindia.wordpress.com/2026/08/04/new-restaurants-cafes-in-mumbai-august-2026/" TargetMode="External"/><Relationship Id="rId64" Type="http://schemas.openxmlformats.org/officeDocument/2006/relationships/hyperlink" Target="https://foodiesofindia.wordpress.com/2026/02/01/february-2026-new-restaurants-in-mumbai-you-need-to-try/" TargetMode="External"/><Relationship Id="rId65" Type="http://schemas.openxmlformats.org/officeDocument/2006/relationships/hyperlink" Target="https://foodiesofindia.wordpress.com/2025/10/01/25-new-restaurants-cafes-to-check-out-in-mumbai-this-october-2025/" TargetMode="External"/><Relationship Id="rId66" Type="http://schemas.openxmlformats.org/officeDocument/2006/relationships/hyperlink" Target="https://www.instagram.com/cafeessence.mulund/" TargetMode="External"/><Relationship Id="rId67" Type="http://schemas.openxmlformats.org/officeDocument/2006/relationships/hyperlink" Target="https://www.instagram.com/cafeessence.mulund/" TargetMode="External"/><Relationship Id="rId68" Type="http://schemas.openxmlformats.org/officeDocument/2006/relationships/hyperlink" Target="https://foodiesofindia.wordpress.com/2026/07/01/new-restaurants-in-mumbai-july-2026-roundup/" TargetMode="External"/><Relationship Id="rId69" Type="http://schemas.openxmlformats.org/officeDocument/2006/relationships/hyperlink" Target="https://foodiesofindia.wordpress.com/2026/08/04/new-restaurants-cafes-in-mumbai-august-2026/" TargetMode="External"/><Relationship Id="rId70" Type="http://schemas.openxmlformats.org/officeDocument/2006/relationships/hyperlink" Target="https://www.restaurantindia.in/news/greenr-opens-12th-outlet-in-mumbai-s-goregaon-as-plant-based-chain-expands.n17065" TargetMode="External"/><Relationship Id="rId71" Type="http://schemas.openxmlformats.org/officeDocument/2006/relationships/hyperlink" Target="https://theculturetrip.com/asia/india/articles/the-best-coffee-shops-in-mumbai" TargetMode="External"/><Relationship Id="rId72" Type="http://schemas.openxmlformats.org/officeDocument/2006/relationships/hyperlink" Target="https://curlytales.com/india/food/new-mumbai-restaurants-in-october-youll-want-to-tell-your-friends-about/" TargetMode="External"/><Relationship Id="rId73" Type="http://schemas.openxmlformats.org/officeDocument/2006/relationships/hyperlink" Target="https://www.timeout.com/mumbai/news/angry-toast-bandras-new-sandwich-shop-has-its-own-coffee-roastery-071626" TargetMode="External"/><Relationship Id="rId74" Type="http://schemas.openxmlformats.org/officeDocument/2006/relationships/hyperlink" Target="https://www.nagpurtoday.in/best-cafes-in-nagpur-2026-our-independent-ranking-based-on-reviews-coffee-quality-ambience-customer-experience/" TargetMode="External"/><Relationship Id="rId75" Type="http://schemas.openxmlformats.org/officeDocument/2006/relationships/hyperlink" Target="https://www.instagram.com/oros_india/" TargetMode="External"/><Relationship Id="rId76" Type="http://schemas.openxmlformats.org/officeDocument/2006/relationships/hyperlink" Target="https://www.instagram.com/oros_india/" TargetMode="External"/><Relationship Id="rId77" Type="http://schemas.openxmlformats.org/officeDocument/2006/relationships/hyperlink" Target="https://www.nagpurtoday.in/best-cafes-in-nagpur-2026-our-independent-ranking-based-on-reviews-coffee-quality-ambience-customer-experience/" TargetMode="External"/><Relationship Id="rId78" Type="http://schemas.openxmlformats.org/officeDocument/2006/relationships/hyperlink" Target="https://rokazu.com/coffee-shops-in-nagpur-india/" TargetMode="External"/><Relationship Id="rId79" Type="http://schemas.openxmlformats.org/officeDocument/2006/relationships/hyperlink" Target="https://www.instagram.com/brewincafe_nagpur/" TargetMode="External"/><Relationship Id="rId80" Type="http://schemas.openxmlformats.org/officeDocument/2006/relationships/hyperlink" Target="https://www.instagram.com/brewincafe_nagpur/" TargetMode="External"/><Relationship Id="rId81" Type="http://schemas.openxmlformats.org/officeDocument/2006/relationships/hyperlink" Target="https://www.instagram.com/coffeebooco/" TargetMode="External"/><Relationship Id="rId82" Type="http://schemas.openxmlformats.org/officeDocument/2006/relationships/hyperlink" Target="https://www.linkedin.com/company/coffeeboo-specialty-coffee" TargetMode="External"/><Relationship Id="rId83" Type="http://schemas.openxmlformats.org/officeDocument/2006/relationships/hyperlink" Target="https://www.instagram.com/coffeebooco/" TargetMode="External"/><Relationship Id="rId84" Type="http://schemas.openxmlformats.org/officeDocument/2006/relationships/hyperlink" Target="https://in.linkedin.com/jobs/cafe-jobs-pune" TargetMode="External"/><Relationship Id="rId85" Type="http://schemas.openxmlformats.org/officeDocument/2006/relationships/hyperlink" Target="https://www.instagram.com/pilgrimcoffee.in/" TargetMode="External"/><Relationship Id="rId86" Type="http://schemas.openxmlformats.org/officeDocument/2006/relationships/hyperlink" Target="https://www.zomato.com/nashik/pilgrim-speciality-coffee-house-college-road" TargetMode="External"/><Relationship Id="rId87" Type="http://schemas.openxmlformats.org/officeDocument/2006/relationships/hyperlink" Target="https://www.instagram.com/pilgrimcoffee.in/" TargetMode="External"/><Relationship Id="rId88" Type="http://schemas.openxmlformats.org/officeDocument/2006/relationships/hyperlink" Target="https://www.zomato.com/nashik/cafe-bliss-college-road" TargetMode="External"/><Relationship Id="rId89" Type="http://schemas.openxmlformats.org/officeDocument/2006/relationships/hyperlink" Target="https://www.zomato.com/nashik/cafe-bliss-college-road" TargetMode="External"/><Relationship Id="rId90" Type="http://schemas.openxmlformats.org/officeDocument/2006/relationships/hyperlink" Target="https://navimumbaihub.com/best-cafes-navi-mumbai/" TargetMode="External"/><Relationship Id="rId91" Type="http://schemas.openxmlformats.org/officeDocument/2006/relationships/hyperlink" Target="https://www.instagram.com/panachespecialtycoffee/" TargetMode="External"/><Relationship Id="rId92" Type="http://schemas.openxmlformats.org/officeDocument/2006/relationships/hyperlink" Target="https://www.instagram.com/panachespecialtycoffee/" TargetMode="External"/><Relationship Id="rId93" Type="http://schemas.openxmlformats.org/officeDocument/2006/relationships/hyperlink" Target="https://www.instagram.com/cafelento.in/" TargetMode="External"/><Relationship Id="rId94" Type="http://schemas.openxmlformats.org/officeDocument/2006/relationships/hyperlink" Target="https://yourstory.com/ys-life/the-second-house-goa-lento-cafe" TargetMode="External"/><Relationship Id="rId95" Type="http://schemas.openxmlformats.org/officeDocument/2006/relationships/hyperlink" Target="https://www.instagram.com/momoka.india/" TargetMode="External"/><Relationship Id="rId96" Type="http://schemas.openxmlformats.org/officeDocument/2006/relationships/hyperlink" Target="https://www.restaurantindia.in/news/momoka-opens-japanese-kissaten-inspired-caf-on-punes-prabhat-road.n16884" TargetMode="External"/><Relationship Id="rId97" Type="http://schemas.openxmlformats.org/officeDocument/2006/relationships/hyperlink" Target="https://www.instagram.com/oneworld_thecoffeestudio/" TargetMode="External"/><Relationship Id="rId98" Type="http://schemas.openxmlformats.org/officeDocument/2006/relationships/hyperlink" Target="https://curlytales.com/punes-bustling-cafe-culture-gets-a-new-chic-coffee-place-one-world-the-coffee-studio/amp/" TargetMode="External"/><Relationship Id="rId99" Type="http://schemas.openxmlformats.org/officeDocument/2006/relationships/hyperlink" Target="https://www.reddit.com/r/PuneCoffee/new/" TargetMode="External"/><Relationship Id="rId100" Type="http://schemas.openxmlformats.org/officeDocument/2006/relationships/hyperlink" Target="https://www.instagram.com/bookbarpune/" TargetMode="External"/><Relationship Id="rId101" Type="http://schemas.openxmlformats.org/officeDocument/2006/relationships/hyperlink" Target="https://www.instagram.com/bookbarpune/" TargetMode="External"/><Relationship Id="rId102" Type="http://schemas.openxmlformats.org/officeDocument/2006/relationships/hyperlink" Target="https://www.instagram.com/cafeserenity_pune/" TargetMode="External"/><Relationship Id="rId103" Type="http://schemas.openxmlformats.org/officeDocument/2006/relationships/hyperlink" Target="https://www.instagram.com/cafeserenity_pune/" TargetMode="External"/><Relationship Id="rId104" Type="http://schemas.openxmlformats.org/officeDocument/2006/relationships/hyperlink" Target="https://echai.ventures/grid/pune/caffeowl-coffee" TargetMode="External"/><Relationship Id="rId105" Type="http://schemas.openxmlformats.org/officeDocument/2006/relationships/hyperlink" Target="https://www.yukio.in/blog/best-coffee-places-in-pune/" TargetMode="External"/><Relationship Id="rId106" Type="http://schemas.openxmlformats.org/officeDocument/2006/relationships/hyperlink" Target="https://www.instagram.com/aekascoffee/" TargetMode="External"/><Relationship Id="rId107" Type="http://schemas.openxmlformats.org/officeDocument/2006/relationships/hyperlink" Target="https://coffeegearguides.com/cafes/best-coffee-shops-in-pune" TargetMode="External"/><Relationship Id="rId108" Type="http://schemas.openxmlformats.org/officeDocument/2006/relationships/hyperlink" Target="https://www.instagram.com/godaamcoffeeco/" TargetMode="External"/><Relationship Id="rId109" Type="http://schemas.openxmlformats.org/officeDocument/2006/relationships/hyperlink" Target="https://coffeegearguides.com/cafes/best-coffee-shops-in-pune" TargetMode="External"/><Relationship Id="rId110" Type="http://schemas.openxmlformats.org/officeDocument/2006/relationships/hyperlink" Target="https://www.instagram.com/tham.coffee/" TargetMode="External"/><Relationship Id="rId111" Type="http://schemas.openxmlformats.org/officeDocument/2006/relationships/hyperlink" Target="https://www.instagram.com/tham.coffee/" TargetMode="External"/><Relationship Id="rId112" Type="http://schemas.openxmlformats.org/officeDocument/2006/relationships/hyperlink" Target="https://www.instagram.com/zencafepune/" TargetMode="External"/><Relationship Id="rId113" Type="http://schemas.openxmlformats.org/officeDocument/2006/relationships/hyperlink" Target="https://lbb.in/delhi/best-coffee-places-pune" TargetMode="External"/><Relationship Id="rId114" Type="http://schemas.openxmlformats.org/officeDocument/2006/relationships/hyperlink" Target="https://www.instagram.com/beanery.pune/" TargetMode="External"/><Relationship Id="rId115" Type="http://schemas.openxmlformats.org/officeDocument/2006/relationships/hyperlink" Target="https://www.instagram.com/beanery.pune/" TargetMode="External"/><Relationship Id="rId116" Type="http://schemas.openxmlformats.org/officeDocument/2006/relationships/hyperlink" Target="https://curlytales.com/india/food/victorian-themed-cafe-to-k-drama-like-eatery-new-restaurants-to-try-in-pune-this-february/" TargetMode="External"/><Relationship Id="rId117" Type="http://schemas.openxmlformats.org/officeDocument/2006/relationships/hyperlink" Target="https://www.instagram.com/coffeenation_in/" TargetMode="External"/><Relationship Id="rId118" Type="http://schemas.openxmlformats.org/officeDocument/2006/relationships/hyperlink" Target="https://www.instagram.com/coffeenation_in/" TargetMode="External"/><Relationship Id="rId119" Type="http://schemas.openxmlformats.org/officeDocument/2006/relationships/hyperlink" Target="https://curlytales.com/india/food/victorian-themed-cafe-to-k-drama-like-eatery-new-restaurants-to-try-in-pune-this-february/" TargetMode="External"/><Relationship Id="rId120" Type="http://schemas.openxmlformats.org/officeDocument/2006/relationships/hyperlink" Target="https://www.instagram.com/lunecafepune/" TargetMode="External"/><Relationship Id="rId121" Type="http://schemas.openxmlformats.org/officeDocument/2006/relationships/hyperlink" Target="https://www.instagram.com/lunecafepune/" TargetMode="External"/><Relationship Id="rId122" Type="http://schemas.openxmlformats.org/officeDocument/2006/relationships/hyperlink" Target="https://www.instagram.com/midori.pune/" TargetMode="External"/><Relationship Id="rId123" Type="http://schemas.openxmlformats.org/officeDocument/2006/relationships/hyperlink" Target="https://www.instagram.com/midori.pune/" TargetMode="External"/><Relationship Id="rId124" Type="http://schemas.openxmlformats.org/officeDocument/2006/relationships/hyperlink" Target="https://echai.ventures/grid/pune/the-beans-talk-cafe" TargetMode="External"/><Relationship Id="rId125" Type="http://schemas.openxmlformats.org/officeDocument/2006/relationships/hyperlink" Target="https://www.instagram.com/mainline.coffee/" TargetMode="External"/><Relationship Id="rId126" Type="http://schemas.openxmlformats.org/officeDocument/2006/relationships/hyperlink" Target="https://www.instagram.com/mainline.coffee/" TargetMode="External"/><Relationship Id="rId127" Type="http://schemas.openxmlformats.org/officeDocument/2006/relationships/hyperlink" Target="https://theappbarista.com/blog/best-cafes-ahmedabad" TargetMode="External"/><Relationship Id="rId128" Type="http://schemas.openxmlformats.org/officeDocument/2006/relationships/hyperlink" Target="https://www.instagram.com/z27coffeebarahmedabad/" TargetMode="External"/><Relationship Id="rId129" Type="http://schemas.openxmlformats.org/officeDocument/2006/relationships/hyperlink" Target="https://www.instagram.com/z27coffeebarahmedabad/" TargetMode="External"/><Relationship Id="rId130" Type="http://schemas.openxmlformats.org/officeDocument/2006/relationships/hyperlink" Target="https://theappbarista.com/blog/best-cafes-ahmedabad" TargetMode="External"/><Relationship Id="rId131" Type="http://schemas.openxmlformats.org/officeDocument/2006/relationships/hyperlink" Target="https://www.instagram.com/brewgarten/" TargetMode="External"/><Relationship Id="rId132" Type="http://schemas.openxmlformats.org/officeDocument/2006/relationships/hyperlink" Target="https://theappbarista.com/blog/best-cafes-ahmedabad" TargetMode="External"/><Relationship Id="rId133" Type="http://schemas.openxmlformats.org/officeDocument/2006/relationships/hyperlink" Target="https://knocksense.com/ahmedabad/coffee-chronicles-mleko-cafes-enchanting-presence-in-ahmedabad-is-winning-over-hearts" TargetMode="External"/><Relationship Id="rId134" Type="http://schemas.openxmlformats.org/officeDocument/2006/relationships/hyperlink" Target="https://www.district.in/blog/everyday-cafes-ahmedabad" TargetMode="External"/><Relationship Id="rId135" Type="http://schemas.openxmlformats.org/officeDocument/2006/relationships/hyperlink" Target="https://www.knocksense.com/ahmedabad/9-new-restaurants-in-ahmedabad-bringing-fresh-flavours-to-the-table" TargetMode="External"/><Relationship Id="rId136" Type="http://schemas.openxmlformats.org/officeDocument/2006/relationships/hyperlink" Target="https://curlytales.com/india/food/enjoy-different-vibes-under-one-roof-at-ahmedabads-new-cafe-insitu/" TargetMode="External"/><Relationship Id="rId137" Type="http://schemas.openxmlformats.org/officeDocument/2006/relationships/hyperlink" Target="https://curlytales.com/india/food/cafe-hoppers-rejoice-gujarats-biggest-cafe-komo-by-kaffa-opens-in-ahmedabad/" TargetMode="External"/><Relationship Id="rId138" Type="http://schemas.openxmlformats.org/officeDocument/2006/relationships/hyperlink" Target="https://theappbarista.com/blog/best-cafes-ahmedabad" TargetMode="External"/><Relationship Id="rId139" Type="http://schemas.openxmlformats.org/officeDocument/2006/relationships/hyperlink" Target="https://www.instagram.com/caffotto.rajkot/" TargetMode="External"/><Relationship Id="rId140" Type="http://schemas.openxmlformats.org/officeDocument/2006/relationships/hyperlink" Target="https://www.instagram.com/caffotto.rajkot/" TargetMode="External"/><Relationship Id="rId141" Type="http://schemas.openxmlformats.org/officeDocument/2006/relationships/hyperlink" Target="https://kupi.com/en/explore/india/rajkot/dough-and-doppio" TargetMode="External"/><Relationship Id="rId142" Type="http://schemas.openxmlformats.org/officeDocument/2006/relationships/hyperlink" Target="https://www.instagram.com/jdscafe_/" TargetMode="External"/><Relationship Id="rId143" Type="http://schemas.openxmlformats.org/officeDocument/2006/relationships/hyperlink" Target="https://www.instagram.com/jdscafe_/" TargetMode="External"/><Relationship Id="rId144" Type="http://schemas.openxmlformats.org/officeDocument/2006/relationships/hyperlink" Target="https://crushcoffee.vercel.app/" TargetMode="External"/><Relationship Id="rId145" Type="http://schemas.openxmlformats.org/officeDocument/2006/relationships/hyperlink" Target="https://crushcoffee.vercel.app/" TargetMode="External"/><Relationship Id="rId146" Type="http://schemas.openxmlformats.org/officeDocument/2006/relationships/hyperlink" Target="https://www.instagram.com/bbcafe.surat/" TargetMode="External"/><Relationship Id="rId147" Type="http://schemas.openxmlformats.org/officeDocument/2006/relationships/hyperlink" Target="https://www.instagram.com/bbcafe.surat/" TargetMode="External"/><Relationship Id="rId148" Type="http://schemas.openxmlformats.org/officeDocument/2006/relationships/hyperlink" Target="https://www.instagram.com/merakitch/" TargetMode="External"/><Relationship Id="rId149" Type="http://schemas.openxmlformats.org/officeDocument/2006/relationships/hyperlink" Target="https://perfectdailygrind.com/2019/03/a-specialty-coffee-shop-tour-of-gujarat-rajasthan/" TargetMode="External"/><Relationship Id="rId150" Type="http://schemas.openxmlformats.org/officeDocument/2006/relationships/hyperlink" Target="https://www.instagram.com/40feet_coffee/" TargetMode="External"/><Relationship Id="rId151" Type="http://schemas.openxmlformats.org/officeDocument/2006/relationships/hyperlink" Target="https://www.instagram.com/40feet_coffee/" TargetMode="External"/><Relationship Id="rId152" Type="http://schemas.openxmlformats.org/officeDocument/2006/relationships/hyperlink" Target="https://travelroach.com/ultimate-guide-best-cafes-surat/" TargetMode="External"/><Relationship Id="rId153" Type="http://schemas.openxmlformats.org/officeDocument/2006/relationships/hyperlink" Target="https://www.pulled.coffee/shop/enso-coffee-surat" TargetMode="External"/><Relationship Id="rId154" Type="http://schemas.openxmlformats.org/officeDocument/2006/relationships/hyperlink" Target="https://www.pulled.coffee/shop/livestream-coffee-vesu-surat" TargetMode="External"/><Relationship Id="rId155" Type="http://schemas.openxmlformats.org/officeDocument/2006/relationships/hyperlink" Target="https://www.pulled.coffee/shop/lower-ground-coffee-surat-2" TargetMode="External"/><Relationship Id="rId156" Type="http://schemas.openxmlformats.org/officeDocument/2006/relationships/hyperlink" Target="https://www.pulled.coffee/shop/moonstruck-coffee-surat-2" TargetMode="External"/><Relationship Id="rId157" Type="http://schemas.openxmlformats.org/officeDocument/2006/relationships/hyperlink" Target="https://www.pulled.coffee/shop/nothing-before-coffee-sns-arista-vesu-surat-surat-2" TargetMode="External"/><Relationship Id="rId158" Type="http://schemas.openxmlformats.org/officeDocument/2006/relationships/hyperlink" Target="https://echai.ventures/grid/surat/the-flat-white-coffee-house" TargetMode="External"/><Relationship Id="rId159" Type="http://schemas.openxmlformats.org/officeDocument/2006/relationships/hyperlink" Target="https://echai.ventures/surat/cafes/across-surat" TargetMode="External"/><Relationship Id="rId160" Type="http://schemas.openxmlformats.org/officeDocument/2006/relationships/hyperlink" Target="https://www.instagram.com/801coffee/" TargetMode="External"/><Relationship Id="rId161" Type="http://schemas.openxmlformats.org/officeDocument/2006/relationships/hyperlink" Target="https://www.instagram.com/801coffee/" TargetMode="External"/><Relationship Id="rId162" Type="http://schemas.openxmlformats.org/officeDocument/2006/relationships/hyperlink" Target="https://www.instagram.com/cafepulp__/" TargetMode="External"/><Relationship Id="rId163" Type="http://schemas.openxmlformats.org/officeDocument/2006/relationships/hyperlink" Target="https://www.instagram.com/cafepulp__/" TargetMode="External"/><Relationship Id="rId164" Type="http://schemas.openxmlformats.org/officeDocument/2006/relationships/hyperlink" Target="https://travelroach.com/ultimate-guide-best-cafes-surat/" TargetMode="External"/><Relationship Id="rId165" Type="http://schemas.openxmlformats.org/officeDocument/2006/relationships/hyperlink" Target="https://www.instagram.com/brewito.coffee/" TargetMode="External"/><Relationship Id="rId166" Type="http://schemas.openxmlformats.org/officeDocument/2006/relationships/hyperlink" Target="https://www.instagram.com/brewito.coffee/" TargetMode="External"/><Relationship Id="rId167" Type="http://schemas.openxmlformats.org/officeDocument/2006/relationships/hyperlink" Target="https://www.zomato.com/vadodara/curators-coffee-alkapuri" TargetMode="External"/><Relationship Id="rId168" Type="http://schemas.openxmlformats.org/officeDocument/2006/relationships/hyperlink" Target="https://magicpin.in/Vadodara/Alkapuri/Restaurant/Curators-Coffee/store/636b96" TargetMode="External"/><Relationship Id="rId169" Type="http://schemas.openxmlformats.org/officeDocument/2006/relationships/hyperlink" Target="https://caffein.co.in/" TargetMode="External"/><Relationship Id="rId170" Type="http://schemas.openxmlformats.org/officeDocument/2006/relationships/hyperlink" Target="https://www.kuberproperty.in/blog/top-10-cafes-in-vadodara-2026" TargetMode="External"/><Relationship Id="rId171" Type="http://schemas.openxmlformats.org/officeDocument/2006/relationships/hyperlink" Target="https://www.instagram.com/_coffeeyard_/" TargetMode="External"/><Relationship Id="rId172" Type="http://schemas.openxmlformats.org/officeDocument/2006/relationships/hyperlink" Target="https://www.instagram.com/_coffeeyard_/" TargetMode="External"/><Relationship Id="rId173" Type="http://schemas.openxmlformats.org/officeDocument/2006/relationships/hyperlink" Target="https://www.instagram.com/cleos_cafe_/" TargetMode="External"/><Relationship Id="rId174" Type="http://schemas.openxmlformats.org/officeDocument/2006/relationships/hyperlink" Target="https://www.instagram.com/cleos_cafe_/" TargetMode="External"/><Relationship Id="rId175" Type="http://schemas.openxmlformats.org/officeDocument/2006/relationships/hyperlink" Target="https://www.instagram.com/babka.goa/" TargetMode="External"/><Relationship Id="rId176" Type="http://schemas.openxmlformats.org/officeDocument/2006/relationships/hyperlink" Target="https://www.instagram.com/babka.goa/" TargetMode="External"/><Relationship Id="rId177" Type="http://schemas.openxmlformats.org/officeDocument/2006/relationships/hyperlink" Target="https://grindbar.in/" TargetMode="External"/><Relationship Id="rId178" Type="http://schemas.openxmlformats.org/officeDocument/2006/relationships/hyperlink" Target="https://www.stayvista.com/blog/best-cafes-in-anjuna-goa-2026-offbeat-and-work-friendly-spots/" TargetMode="External"/><Relationship Id="rId179" Type="http://schemas.openxmlformats.org/officeDocument/2006/relationships/hyperlink" Target="https://www.stayvista.com/blog/best-cafes-in-anjuna-goa-2026-offbeat-and-work-friendly-spots/" TargetMode="External"/><Relationship Id="rId180" Type="http://schemas.openxmlformats.org/officeDocument/2006/relationships/hyperlink" Target="https://www.district.in/blog/speciality-coffee-cafes-goa" TargetMode="External"/><Relationship Id="rId181" Type="http://schemas.openxmlformats.org/officeDocument/2006/relationships/hyperlink" Target="https://www.restaurantindia.in/news/restaurant-india-news-coffee-culture-enters-hospitality-with-unseen-world-s-first-coffee-focused.n14245" TargetMode="External"/><Relationship Id="rId182" Type="http://schemas.openxmlformats.org/officeDocument/2006/relationships/hyperlink" Target="https://www.tripadvisor.in/Restaurants-g12412672-c8-South_Goa_District_Goa.html" TargetMode="External"/><Relationship Id="rId183" Type="http://schemas.openxmlformats.org/officeDocument/2006/relationships/hyperlink" Target="https://www.restaurantindia.in/news/restaurant-india-news-aami-caf-bistro-opens-its-doors-in-candolim-goa.n16290" TargetMode="External"/><Relationship Id="rId184" Type="http://schemas.openxmlformats.org/officeDocument/2006/relationships/hyperlink" Target="https://www.instagram.com/rubyscoffee_goa/" TargetMode="External"/><Relationship Id="rId185" Type="http://schemas.openxmlformats.org/officeDocument/2006/relationships/hyperlink" Target="https://www.restaurantindia.in/news/novotel-goa-candolim-unveils-the-little-place-cafe.n12067" TargetMode="External"/><Relationship Id="rId186" Type="http://schemas.openxmlformats.org/officeDocument/2006/relationships/hyperlink" Target="https://www.zomato.com/goa/souza-coffee-colva" TargetMode="External"/><Relationship Id="rId187" Type="http://schemas.openxmlformats.org/officeDocument/2006/relationships/hyperlink" Target="https://www.tripadvisor.in/Restaurants-g12412672-zfg9900-South_Goa_District_Goa.html" TargetMode="External"/><Relationship Id="rId188" Type="http://schemas.openxmlformats.org/officeDocument/2006/relationships/hyperlink" Target="https://www.flamingotravels.co.in/blog/2026/10/cafes-to-visit-in-goa" TargetMode="External"/><Relationship Id="rId189" Type="http://schemas.openxmlformats.org/officeDocument/2006/relationships/hyperlink" Target="https://travellerscoop.com/must-try-new-restaurants-in-goa-openings/" TargetMode="External"/><Relationship Id="rId190" Type="http://schemas.openxmlformats.org/officeDocument/2006/relationships/hyperlink" Target="https://www.instagram.com/larderandfolkgoa/" TargetMode="External"/><Relationship Id="rId191" Type="http://schemas.openxmlformats.org/officeDocument/2006/relationships/hyperlink" Target="https://www.district.in/blog/speciality-coffee-cafes-goa" TargetMode="External"/><Relationship Id="rId192" Type="http://schemas.openxmlformats.org/officeDocument/2006/relationships/hyperlink" Target="https://travellerscoop.com/must-try-new-restaurants-in-goa-openings/" TargetMode="External"/><Relationship Id="rId193" Type="http://schemas.openxmlformats.org/officeDocument/2006/relationships/hyperlink" Target="https://www.eazydiner.com/goa/asro-cafe-food-lab-porvorim-north-goa-694932/reviews" TargetMode="External"/><Relationship Id="rId194" Type="http://schemas.openxmlformats.org/officeDocument/2006/relationships/hyperlink" Target="https://www.instagram.com/rubyscoffee_goa/" TargetMode="External"/><Relationship Id="rId195" Type="http://schemas.openxmlformats.org/officeDocument/2006/relationships/hyperlink" Target="https://www.eazydiner.com/goa/cafe-robusta-porvorim-porvorim-north-goa-691965" TargetMode="External"/><Relationship Id="rId196" Type="http://schemas.openxmlformats.org/officeDocument/2006/relationships/hyperlink" Target="https://www.eazydiner.com/goa/joeys-porvorim-north-goa-696527" TargetMode="External"/><Relationship Id="rId197" Type="http://schemas.openxmlformats.org/officeDocument/2006/relationships/hyperlink" Target="https://www.instagram.com/cafelento.in/" TargetMode="External"/><Relationship Id="rId198" Type="http://schemas.openxmlformats.org/officeDocument/2006/relationships/hyperlink" Target="https://yourstory.com/ys-life/the-second-house-goa-lento-cafe" TargetMode="External"/><Relationship Id="rId199" Type="http://schemas.openxmlformats.org/officeDocument/2006/relationships/hyperlink" Target="https://www.instagram.com/alag.together/" TargetMode="External"/><Relationship Id="rId200" Type="http://schemas.openxmlformats.org/officeDocument/2006/relationships/hyperlink" Target="https://baristamagazine.com/exploring-the-vibrant-specialty-coffee-culture-of-goa-india" TargetMode="External"/><Relationship Id="rId201" Type="http://schemas.openxmlformats.org/officeDocument/2006/relationships/hyperlink" Target="https://www.instagram.com/coffeetherapyinc/" TargetMode="External"/><Relationship Id="rId202" Type="http://schemas.openxmlformats.org/officeDocument/2006/relationships/hyperlink" Target="https://rokazu.com/coffee-shops-in-bhopal-india/" TargetMode="External"/><Relationship Id="rId203" Type="http://schemas.openxmlformats.org/officeDocument/2006/relationships/hyperlink" Target="https://www.instagram.com/coffeio.in/" TargetMode="External"/><Relationship Id="rId204" Type="http://schemas.openxmlformats.org/officeDocument/2006/relationships/hyperlink" Target="https://www.instagram.com/coffeio.in/" TargetMode="External"/><Relationship Id="rId205" Type="http://schemas.openxmlformats.org/officeDocument/2006/relationships/hyperlink" Target="https://www.instagram.com/cafeamado.in/" TargetMode="External"/><Relationship Id="rId206" Type="http://schemas.openxmlformats.org/officeDocument/2006/relationships/hyperlink" Target="https://bhopaltop10.vercel.app/bhopal/cafes/" TargetMode="External"/><Relationship Id="rId207" Type="http://schemas.openxmlformats.org/officeDocument/2006/relationships/hyperlink" Target="https://www.eazydiner.com/bhopal/coffea-arera-colony-bhopal-689070" TargetMode="External"/><Relationship Id="rId208" Type="http://schemas.openxmlformats.org/officeDocument/2006/relationships/hyperlink" Target="https://www.instagram.com/lattelovebhopal/" TargetMode="External"/><Relationship Id="rId209" Type="http://schemas.openxmlformats.org/officeDocument/2006/relationships/hyperlink" Target="https://www.instagram.com/lattelovebhopal/" TargetMode="External"/><Relationship Id="rId210" Type="http://schemas.openxmlformats.org/officeDocument/2006/relationships/hyperlink" Target="https://www.instagram.com/tcsbhopal/" TargetMode="External"/><Relationship Id="rId211" Type="http://schemas.openxmlformats.org/officeDocument/2006/relationships/hyperlink" Target="https://www.instagram.com/tcsbhopal/" TargetMode="External"/><Relationship Id="rId212" Type="http://schemas.openxmlformats.org/officeDocument/2006/relationships/hyperlink" Target="https://medium.com/@arunfabapr/the-best-coffee-shops-cafes-of-bhopal-7fb517e85e35" TargetMode="External"/><Relationship Id="rId213" Type="http://schemas.openxmlformats.org/officeDocument/2006/relationships/hyperlink" Target="https://www.instagram.com/glaamz.gwalior/" TargetMode="External"/><Relationship Id="rId214" Type="http://schemas.openxmlformats.org/officeDocument/2006/relationships/hyperlink" Target="https://www.instagram.com/glaamz.gwalior/" TargetMode="External"/><Relationship Id="rId215" Type="http://schemas.openxmlformats.org/officeDocument/2006/relationships/hyperlink" Target="https://www.instagram.com/dripcoindia/" TargetMode="External"/><Relationship Id="rId216" Type="http://schemas.openxmlformats.org/officeDocument/2006/relationships/hyperlink" Target="https://www.dripcospecialitycoffeebrewers.com/" TargetMode="External"/><Relationship Id="rId217" Type="http://schemas.openxmlformats.org/officeDocument/2006/relationships/hyperlink" Target="https://www.dripcospecialitycoffeebrewers.com/blog" TargetMode="External"/><Relationship Id="rId218" Type="http://schemas.openxmlformats.org/officeDocument/2006/relationships/hyperlink" Target="https://www.instagram.com/cavacafee/" TargetMode="External"/><Relationship Id="rId219" Type="http://schemas.openxmlformats.org/officeDocument/2006/relationships/hyperlink" Target="https://www.instagram.com/cavacafee/" TargetMode="External"/><Relationship Id="rId220" Type="http://schemas.openxmlformats.org/officeDocument/2006/relationships/hyperlink" Target="https://www.instagram.com/absolutecoffeebrewers/" TargetMode="External"/><Relationship Id="rId221" Type="http://schemas.openxmlformats.org/officeDocument/2006/relationships/hyperlink" Target="https://www.instagram.com/absolutecoffeebrewers/" TargetMode="External"/><Relationship Id="rId222" Type="http://schemas.openxmlformats.org/officeDocument/2006/relationships/hyperlink" Target="https://www.stanzaliving.com/blog/cafes-in-indore" TargetMode="External"/><Relationship Id="rId223" Type="http://schemas.openxmlformats.org/officeDocument/2006/relationships/hyperlink" Target="https://www.instagram.com/loveovercoffee_indore_/" TargetMode="External"/><Relationship Id="rId224" Type="http://schemas.openxmlformats.org/officeDocument/2006/relationships/hyperlink" Target="https://www.instagram.com/loveovercoffee_indore_/" TargetMode="External"/><Relationship Id="rId225" Type="http://schemas.openxmlformats.org/officeDocument/2006/relationships/hyperlink" Target="https://www.instagram.com/sipcoffeeofficial/" TargetMode="External"/><Relationship Id="rId226" Type="http://schemas.openxmlformats.org/officeDocument/2006/relationships/hyperlink" Target="https://www.instagram.com/sipcoffeeofficial/" TargetMode="External"/><Relationship Id="rId227" Type="http://schemas.openxmlformats.org/officeDocument/2006/relationships/hyperlink" Target="https://www.instagram.com/highbrooksjabalpur/" TargetMode="External"/><Relationship Id="rId228" Type="http://schemas.openxmlformats.org/officeDocument/2006/relationships/hyperlink" Target="https://wanderlog.com/place/details/10602229/the-highbrooks-cafe" TargetMode="External"/><Relationship Id="rId229" Type="http://schemas.openxmlformats.org/officeDocument/2006/relationships/hyperlink" Target="https://www.instagram.com/moreovercoffee_india/" TargetMode="External"/><Relationship Id="rId230" Type="http://schemas.openxmlformats.org/officeDocument/2006/relationships/hyperlink" Target="https://www.instagram.com/moreovercoffee_india/" TargetMode="External"/><Relationship Id="rId231" Type="http://schemas.openxmlformats.org/officeDocument/2006/relationships/hyperlink" Target="https://oteats.outlooktraveller.com/features/guides/jaipur-is-entering-its-coffee-smart-era-and-these-spots-prove-it" TargetMode="External"/><Relationship Id="rId232" Type="http://schemas.openxmlformats.org/officeDocument/2006/relationships/hyperlink" Target="https://www.instagram.com/carbon.jaipur/" TargetMode="External"/><Relationship Id="rId233" Type="http://schemas.openxmlformats.org/officeDocument/2006/relationships/hyperlink" Target="https://www.restaurantindia.in/news/carbon-opens-third-caf-in-jaipur-with-new-vaishali-nagar-outlet.n16924" TargetMode="External"/><Relationship Id="rId234" Type="http://schemas.openxmlformats.org/officeDocument/2006/relationships/hyperlink" Target="https://thenodmag.com/content/jacobs-brew-house-jaipur-cafe-coffee-house-review" TargetMode="External"/><Relationship Id="rId235" Type="http://schemas.openxmlformats.org/officeDocument/2006/relationships/hyperlink" Target="https://www.eazydiner.com/jaipur/traut-coffee-house-vidhyut-nagar-jaipur-719695" TargetMode="External"/><Relationship Id="rId236" Type="http://schemas.openxmlformats.org/officeDocument/2006/relationships/hyperlink" Target="https://www.outlooktraveller.com/ot-pours/traut-coffee-house-opens-doors-as-jaipurs-newest-coffee-hotspot" TargetMode="External"/><Relationship Id="rId237" Type="http://schemas.openxmlformats.org/officeDocument/2006/relationships/hyperlink" Target="https://www.instagram.com/beansnbunjaipur/" TargetMode="External"/><Relationship Id="rId238" Type="http://schemas.openxmlformats.org/officeDocument/2006/relationships/hyperlink" Target="https://www.instagram.com/beansnbunjaipur/" TargetMode="External"/><Relationship Id="rId239" Type="http://schemas.openxmlformats.org/officeDocument/2006/relationships/hyperlink" Target="https://oteats.outlooktraveller.com/features/guides/jaipur-is-entering-its-coffee-smart-era-and-these-spots-prove-it" TargetMode="External"/><Relationship Id="rId240" Type="http://schemas.openxmlformats.org/officeDocument/2006/relationships/hyperlink" Target="https://www.instagram.com/thelittlecoffeeshopjaipur/" TargetMode="External"/><Relationship Id="rId241" Type="http://schemas.openxmlformats.org/officeDocument/2006/relationships/hyperlink" Target="https://www.instagram.com/thelittlecoffeeshopjaipur/" TargetMode="External"/><Relationship Id="rId242" Type="http://schemas.openxmlformats.org/officeDocument/2006/relationships/hyperlink" Target="https://www.instagram.com/cafeearnest/" TargetMode="External"/><Relationship Id="rId243" Type="http://schemas.openxmlformats.org/officeDocument/2006/relationships/hyperlink" Target="https://www.instagram.com/cafeearnest/" TargetMode="External"/><Relationship Id="rId244" Type="http://schemas.openxmlformats.org/officeDocument/2006/relationships/hyperlink" Target="https://www.instagram.com/towncoffeejaipur/" TargetMode="External"/><Relationship Id="rId245" Type="http://schemas.openxmlformats.org/officeDocument/2006/relationships/hyperlink" Target="https://www.instagram.com/towncoffeejaipur/" TargetMode="External"/><Relationship Id="rId246" Type="http://schemas.openxmlformats.org/officeDocument/2006/relationships/hyperlink" Target="https://www.instagram.com/hustlerscafejaipur/" TargetMode="External"/><Relationship Id="rId247" Type="http://schemas.openxmlformats.org/officeDocument/2006/relationships/hyperlink" Target="https://www.instagram.com/hustlerscafejaipur/" TargetMode="External"/><Relationship Id="rId248" Type="http://schemas.openxmlformats.org/officeDocument/2006/relationships/hyperlink" Target="https://www.instagram.com/thehouseofcoffee__/" TargetMode="External"/><Relationship Id="rId249" Type="http://schemas.openxmlformats.org/officeDocument/2006/relationships/hyperlink" Target="https://www.instagram.com/thehouseofcoffee__/" TargetMode="External"/><Relationship Id="rId250" Type="http://schemas.openxmlformats.org/officeDocument/2006/relationships/hyperlink" Target="https://in.linkedin.com/company/worldofkacoba" TargetMode="External"/><Relationship Id="rId251" Type="http://schemas.openxmlformats.org/officeDocument/2006/relationships/hyperlink" Target="https://www.district.in/blog/specialty-coffee-jaipur" TargetMode="External"/><Relationship Id="rId252" Type="http://schemas.openxmlformats.org/officeDocument/2006/relationships/hyperlink" Target="https://explorejodhpur.com/best-coffee-spots-in-jodhpur/" TargetMode="External"/><Relationship Id="rId253" Type="http://schemas.openxmlformats.org/officeDocument/2006/relationships/hyperlink" Target="https://explorejodhpur.com/best-coffee-spots-in-jodhpur/" TargetMode="External"/><Relationship Id="rId254" Type="http://schemas.openxmlformats.org/officeDocument/2006/relationships/hyperlink" Target="https://www.instagram.com/obrew.udaipur/" TargetMode="External"/><Relationship Id="rId255" Type="http://schemas.openxmlformats.org/officeDocument/2006/relationships/hyperlink" Target="https://www.shoppingbazar.in/specialty-coffee-udaipur-third-wave-cafes/" TargetMode="External"/><Relationship Id="rId256" Type="http://schemas.openxmlformats.org/officeDocument/2006/relationships/hyperlink" Target="https://www.shoppingbazar.in/specialty-coffee-udaipur-third-wave-cafes/" TargetMode="External"/><Relationship Id="rId257" Type="http://schemas.openxmlformats.org/officeDocument/2006/relationships/hyperlink" Target="https://www.oteats.outlooktraveller.com/features/guides/delhis-newest-openings-that-you-must-look-out-for-this-february" TargetMode="External"/><Relationship Id="rId258" Type="http://schemas.openxmlformats.org/officeDocument/2006/relationships/hyperlink" Target="https://www.instagram.com/coffeebond/" TargetMode="External"/><Relationship Id="rId259" Type="http://schemas.openxmlformats.org/officeDocument/2006/relationships/hyperlink" Target="https://www.instagram.com/coffeebond/" TargetMode="External"/><Relationship Id="rId260" Type="http://schemas.openxmlformats.org/officeDocument/2006/relationships/hyperlink" Target="https://www.thelabmagofficial.com/new-tables-for-october-the-delhi-ncr-restaurants-cafes-and-bars-to-try/" TargetMode="External"/><Relationship Id="rId261" Type="http://schemas.openxmlformats.org/officeDocument/2006/relationships/hyperlink" Target="https://www.thelabmagofficial.com/new-restaurants-cafes-and-bars-to-try-across-india-this-september/" TargetMode="External"/><Relationship Id="rId262" Type="http://schemas.openxmlformats.org/officeDocument/2006/relationships/hyperlink" Target="https://www.thelabmagofficial.com/new-restaurants-cafes-and-bars-to-try-across-india-this-september/" TargetMode="External"/><Relationship Id="rId263" Type="http://schemas.openxmlformats.org/officeDocument/2006/relationships/hyperlink" Target="https://thenodmag.com/content/the-drop-hauz-khas-delhi-indian-specialty-coffee-roastery-review" TargetMode="External"/><Relationship Id="rId264" Type="http://schemas.openxmlformats.org/officeDocument/2006/relationships/hyperlink" Target="https://www.instagram.com/ingoodcoindia/" TargetMode="External"/><Relationship Id="rId265" Type="http://schemas.openxmlformats.org/officeDocument/2006/relationships/hyperlink" Target="https://thenodmag.com/content/where-to-eat-this-june-in-delhi-ncr" TargetMode="External"/><Relationship Id="rId266" Type="http://schemas.openxmlformats.org/officeDocument/2006/relationships/hyperlink" Target="https://passcodehospitality.com/drop" TargetMode="External"/><Relationship Id="rId267" Type="http://schemas.openxmlformats.org/officeDocument/2006/relationships/hyperlink" Target="https://www.outlooktraveller.com/ot-pours/drop-in-at-the-drop-and-find-your-jaws-dropped" TargetMode="External"/><Relationship Id="rId268" Type="http://schemas.openxmlformats.org/officeDocument/2006/relationships/hyperlink" Target="https://www.outlooktraveller.com/ot-pours" TargetMode="External"/><Relationship Id="rId269" Type="http://schemas.openxmlformats.org/officeDocument/2006/relationships/hyperlink" Target="https://www.thelabmagofficial.com/best-new-restaurants-cafes-bars-in-india-to-visit-in-august-2026/" TargetMode="External"/><Relationship Id="rId270" Type="http://schemas.openxmlformats.org/officeDocument/2006/relationships/hyperlink" Target="https://www.instagram.com/coffeegramdelhi/" TargetMode="External"/><Relationship Id="rId271" Type="http://schemas.openxmlformats.org/officeDocument/2006/relationships/hyperlink" Target="https://www.instagram.com/coffeegramdelhi/" TargetMode="External"/><Relationship Id="rId272" Type="http://schemas.openxmlformats.org/officeDocument/2006/relationships/hyperlink" Target="https://www.worldcoffeeportal.com/news/indias-fes-cafe-appoints-former-blue-tokai-executive-following-1m-fundraise/" TargetMode="External"/><Relationship Id="rId273" Type="http://schemas.openxmlformats.org/officeDocument/2006/relationships/hyperlink" Target="https://www.timeout.com/delhi/restaurants/the-best-coffee-shops-in-delhi" TargetMode="External"/><Relationship Id="rId274" Type="http://schemas.openxmlformats.org/officeDocument/2006/relationships/hyperlink" Target="https://www.thelabmagofficial.com/new-tables-for-october-the-delhi-ncr-restaurants-cafes-and-bars-to-try/" TargetMode="External"/><Relationship Id="rId275" Type="http://schemas.openxmlformats.org/officeDocument/2006/relationships/hyperlink" Target="https://www.instagram.com/brimsmoderncoffee/" TargetMode="External"/><Relationship Id="rId276" Type="http://schemas.openxmlformats.org/officeDocument/2006/relationships/hyperlink" Target="https://brewatlas.co/delhi/cafes" TargetMode="External"/><Relationship Id="rId277" Type="http://schemas.openxmlformats.org/officeDocument/2006/relationships/hyperlink" Target="https://www.corner.inc/place/p7HpPpxdEgHr?listId=4337c3ac-f3b8-49aa-8482-a6b94a6b2110" TargetMode="External"/><Relationship Id="rId278" Type="http://schemas.openxmlformats.org/officeDocument/2006/relationships/hyperlink" Target="https://www.instagram.com/marcels.in/" TargetMode="External"/><Relationship Id="rId279" Type="http://schemas.openxmlformats.org/officeDocument/2006/relationships/hyperlink" Target="https://brewatlas.co/delhi/cafes" TargetMode="External"/><Relationship Id="rId280" Type="http://schemas.openxmlformats.org/officeDocument/2006/relationships/hyperlink" Target="https://brewatlas.co/delhi/cafes/food" TargetMode="External"/><Relationship Id="rId281" Type="http://schemas.openxmlformats.org/officeDocument/2006/relationships/hyperlink" Target="https://www.instagram.com/charcha.delhi/" TargetMode="External"/><Relationship Id="rId282" Type="http://schemas.openxmlformats.org/officeDocument/2006/relationships/hyperlink" Target="https://www.instagram.com/charcha.delhi/" TargetMode="External"/><Relationship Id="rId283" Type="http://schemas.openxmlformats.org/officeDocument/2006/relationships/hyperlink" Target="https://www.instagram.com/mirasindelhi/" TargetMode="External"/><Relationship Id="rId284" Type="http://schemas.openxmlformats.org/officeDocument/2006/relationships/hyperlink" Target="https://www.instagram.com/mirasindelhi/" TargetMode="External"/><Relationship Id="rId285" Type="http://schemas.openxmlformats.org/officeDocument/2006/relationships/hyperlink" Target="https://www.instagram.com/nunkun_bakery/" TargetMode="External"/><Relationship Id="rId286" Type="http://schemas.openxmlformats.org/officeDocument/2006/relationships/hyperlink" Target="https://www.instagram.com/nunkun_bakery/" TargetMode="External"/><Relationship Id="rId287" Type="http://schemas.openxmlformats.org/officeDocument/2006/relationships/hyperlink" Target="https://thenodmag.com/content/delhi-ncr-new-restaurants-bars-food-menus-july-2026" TargetMode="External"/><Relationship Id="rId288" Type="http://schemas.openxmlformats.org/officeDocument/2006/relationships/hyperlink" Target="https://thenodmag.com/content/new-restaurants-bars-openings-february-2026-mumbai-delhi-bengaluru-goa" TargetMode="External"/><Relationship Id="rId289" Type="http://schemas.openxmlformats.org/officeDocument/2006/relationships/hyperlink" Target="https://brewatlas.co/delhi/cafes/food" TargetMode="External"/><Relationship Id="rId290" Type="http://schemas.openxmlformats.org/officeDocument/2006/relationships/hyperlink" Target="https://www.tribuneindia.com/news/business/sip-the-new-trend-5-must-visit-premium-coffee-cafes-in-delhi-ncr-2026/" TargetMode="External"/><Relationship Id="rId291" Type="http://schemas.openxmlformats.org/officeDocument/2006/relationships/hyperlink" Target="https://www.instagram.com/theblackcoffeecafeindia/" TargetMode="External"/><Relationship Id="rId292" Type="http://schemas.openxmlformats.org/officeDocument/2006/relationships/hyperlink" Target="https://www.instagram.com/theblackcoffeecafeindia/" TargetMode="External"/><Relationship Id="rId293" Type="http://schemas.openxmlformats.org/officeDocument/2006/relationships/hyperlink" Target="https://wanderhoods.com/best-cafes-in-faridabad-5-must-visit-coffee-spots/" TargetMode="External"/><Relationship Id="rId294" Type="http://schemas.openxmlformats.org/officeDocument/2006/relationships/hyperlink" Target="https://www.restaurantindia.in/news/restaurant-india-news-kokoy-launches-caf-in-gurugram-enters-premium-all-day-dining-segment.n14880" TargetMode="External"/><Relationship Id="rId295" Type="http://schemas.openxmlformats.org/officeDocument/2006/relationships/hyperlink" Target="https://www.thelabmagofficial.com/new-tables-for-october-the-delhi-ncr-restaurants-cafes-and-bars-to-try/" TargetMode="External"/><Relationship Id="rId296" Type="http://schemas.openxmlformats.org/officeDocument/2006/relationships/hyperlink" Target="https://www.instagram.com/ate_altogetherexperimental/" TargetMode="External"/><Relationship Id="rId297" Type="http://schemas.openxmlformats.org/officeDocument/2006/relationships/hyperlink" Target="https://thenodmag.com/content/new-restaurants-bars-menus-delhi-may-2026" TargetMode="External"/><Relationship Id="rId298" Type="http://schemas.openxmlformats.org/officeDocument/2006/relationships/hyperlink" Target="https://www.restaurantindia.in/news/oro-opens-flagship-specialty-coffee-caf-in-gurugram.n17284" TargetMode="External"/><Relationship Id="rId299" Type="http://schemas.openxmlformats.org/officeDocument/2006/relationships/hyperlink" Target="https://lbb.in/delhi/best-restaurants-cafes-delhi/" TargetMode="External"/><Relationship Id="rId300" Type="http://schemas.openxmlformats.org/officeDocument/2006/relationships/hyperlink" Target="https://indianretailer.com/news/butterhands-makes-delhi-ncr-debut-flagship-store-saket" TargetMode="External"/><Relationship Id="rId301" Type="http://schemas.openxmlformats.org/officeDocument/2006/relationships/hyperlink" Target="https://www.instagram.com/1000percentcoffee/" TargetMode="External"/><Relationship Id="rId302" Type="http://schemas.openxmlformats.org/officeDocument/2006/relationships/hyperlink" Target="https://www.instagram.com/1000percentcoffee/" TargetMode="External"/><Relationship Id="rId303" Type="http://schemas.openxmlformats.org/officeDocument/2006/relationships/hyperlink" Target="https://www.instagram.com/figatmgroad/" TargetMode="External"/><Relationship Id="rId304" Type="http://schemas.openxmlformats.org/officeDocument/2006/relationships/hyperlink" Target="https://www.instagram.com/figatmgroad/" TargetMode="External"/><Relationship Id="rId305" Type="http://schemas.openxmlformats.org/officeDocument/2006/relationships/hyperlink" Target="https://www.thelabmagofficial.com/new-tables-for-october-the-delhi-ncr-restaurants-cafes-and-bars-to-try/" TargetMode="External"/><Relationship Id="rId306" Type="http://schemas.openxmlformats.org/officeDocument/2006/relationships/hyperlink" Target="https://www.district.in/blog/specialty-coffee-cafes-chandigarh" TargetMode="External"/><Relationship Id="rId307" Type="http://schemas.openxmlformats.org/officeDocument/2006/relationships/hyperlink" Target="https://wanderon.in/blogs/best-cafes-in-kanpur" TargetMode="External"/><Relationship Id="rId308" Type="http://schemas.openxmlformats.org/officeDocument/2006/relationships/hyperlink" Target="https://sidewalkindia.com/" TargetMode="External"/><Relationship Id="rId309" Type="http://schemas.openxmlformats.org/officeDocument/2006/relationships/hyperlink" Target="https://sidewalkindia.com/" TargetMode="External"/><Relationship Id="rId310" Type="http://schemas.openxmlformats.org/officeDocument/2006/relationships/hyperlink" Target="https://www.knocksense.com/lucknow/5-new-coffee-spots-in-lucknow-worth-adding-to-your-caf&#233;-hopping-list" TargetMode="External"/><Relationship Id="rId311" Type="http://schemas.openxmlformats.org/officeDocument/2006/relationships/hyperlink" Target="https://www.knocksense.com/lucknow/5-new-coffee-spots-in-lucknow-worth-adding-to-your-caf&#233;-hopping-list" TargetMode="External"/><Relationship Id="rId312" Type="http://schemas.openxmlformats.org/officeDocument/2006/relationships/hyperlink" Target="https://www.knocksense.com/lucknow/5-new-coffee-spots-in-lucknow-worth-adding-to-your-caf&#233;-hopping-list" TargetMode="External"/><Relationship Id="rId313" Type="http://schemas.openxmlformats.org/officeDocument/2006/relationships/hyperlink" Target="https://www.instagram.com/overflowlko/" TargetMode="External"/><Relationship Id="rId314" Type="http://schemas.openxmlformats.org/officeDocument/2006/relationships/hyperlink" Target="https://overflowcoffee.in/" TargetMode="External"/><Relationship Id="rId315" Type="http://schemas.openxmlformats.org/officeDocument/2006/relationships/hyperlink" Target="https://overflowcoffee.in/" TargetMode="External"/><Relationship Id="rId316" Type="http://schemas.openxmlformats.org/officeDocument/2006/relationships/hyperlink" Target="https://www.knocksense.com/lucknow/ditch-the-old-cafes-lucknows-newest-chacoco-is-brewing-something-specialheres-why-youll-love-it/" TargetMode="External"/><Relationship Id="rId317" Type="http://schemas.openxmlformats.org/officeDocument/2006/relationships/hyperlink" Target="https://www.knocksense.com/lucknow/5-new-coffee-spots-in-lucknow-worth-adding-to-your-caf&#233;-hopping-list" TargetMode="External"/><Relationship Id="rId318" Type="http://schemas.openxmlformats.org/officeDocument/2006/relationships/hyperlink" Target="https://www.instagram.com/philtrecoindia/" TargetMode="External"/><Relationship Id="rId319" Type="http://schemas.openxmlformats.org/officeDocument/2006/relationships/hyperlink" Target="https://www.instagram.com/philtrecoindia/" TargetMode="External"/><Relationship Id="rId320" Type="http://schemas.openxmlformats.org/officeDocument/2006/relationships/hyperlink" Target="https://www.instagram.com/baske.lucknow/" TargetMode="External"/><Relationship Id="rId321" Type="http://schemas.openxmlformats.org/officeDocument/2006/relationships/hyperlink" Target="https://www.instagram.com/baske.lucknow/" TargetMode="External"/><Relationship Id="rId322" Type="http://schemas.openxmlformats.org/officeDocument/2006/relationships/hyperlink" Target="https://www.district.in/blog/specialty-coffee-noida" TargetMode="External"/><Relationship Id="rId323" Type="http://schemas.openxmlformats.org/officeDocument/2006/relationships/hyperlink" Target="https://www.district.in/blog/specialty-coffee-noida" TargetMode="External"/><Relationship Id="rId324" Type="http://schemas.openxmlformats.org/officeDocument/2006/relationships/hyperlink" Target="https://www.instagram.com/thehavennoida/" TargetMode="External"/><Relationship Id="rId325" Type="http://schemas.openxmlformats.org/officeDocument/2006/relationships/hyperlink" Target="https://www.instagram.com/thehavennoida/" TargetMode="External"/><Relationship Id="rId326" Type="http://schemas.openxmlformats.org/officeDocument/2006/relationships/hyperlink" Target="https://magicpin.in/blog/india/noida/food-and-beverage/best-cafes-in-noida-for-work-from-cafe" TargetMode="External"/><Relationship Id="rId327" Type="http://schemas.openxmlformats.org/officeDocument/2006/relationships/hyperlink" Target="https://www.district.in/blog/specialty-coffee-noida" TargetMode="External"/><Relationship Id="rId328" Type="http://schemas.openxmlformats.org/officeDocument/2006/relationships/hyperlink" Target="https://www.instagram.com/cafemeraki.prayagraj/" TargetMode="External"/><Relationship Id="rId329" Type="http://schemas.openxmlformats.org/officeDocument/2006/relationships/hyperlink" Target="https://www.instagram.com/cafemeraki.prayagraj/" TargetMode="External"/><Relationship Id="rId330" Type="http://schemas.openxmlformats.org/officeDocument/2006/relationships/hyperlink" Target="https://www.pinaak.co/discover/varanasi-cafes-restaurants" TargetMode="External"/><Relationship Id="rId331" Type="http://schemas.openxmlformats.org/officeDocument/2006/relationships/hyperlink" Target="https://zipbiz.in/hidden-cafes-chandigarh-mohali/" TargetMode="External"/><Relationship Id="rId332" Type="http://schemas.openxmlformats.org/officeDocument/2006/relationships/hyperlink" Target="https://www.instagram.com/greko.espresso/" TargetMode="External"/><Relationship Id="rId333" Type="http://schemas.openxmlformats.org/officeDocument/2006/relationships/hyperlink" Target="https://www.instagram.com/greko.espresso/" TargetMode="External"/><Relationship Id="rId334" Type="http://schemas.openxmlformats.org/officeDocument/2006/relationships/hyperlink" Target="https://www.instagram.com/wht.blk.coffeehouse/" TargetMode="External"/><Relationship Id="rId335" Type="http://schemas.openxmlformats.org/officeDocument/2006/relationships/hyperlink" Target="https://www.instagram.com/wht.blk.coffeehouse/" TargetMode="External"/><Relationship Id="rId336" Type="http://schemas.openxmlformats.org/officeDocument/2006/relationships/hyperlink" Target="https://restaurant-guru.in/cafe-Ludhiana-t6" TargetMode="External"/><Relationship Id="rId337" Type="http://schemas.openxmlformats.org/officeDocument/2006/relationships/hyperlink" Target="https://www.dinediary.in/2026/03/best-cafes-in-ludhiana.html?m=1" TargetMode="External"/><Relationship Id="rId338" Type="http://schemas.openxmlformats.org/officeDocument/2006/relationships/hyperlink" Target="https://www.explurger.com/pd/p5kv9l6q6vjy8n2cx" TargetMode="External"/><Relationship Id="rId339" Type="http://schemas.openxmlformats.org/officeDocument/2006/relationships/hyperlink" Target="https://www.instagram.com/caferue18/" TargetMode="External"/><Relationship Id="rId340" Type="http://schemas.openxmlformats.org/officeDocument/2006/relationships/hyperlink" Target="https://www.dinediary.in/2026/03/best-cafes-in-ludhiana.html?m=1" TargetMode="External"/><Relationship Id="rId341" Type="http://schemas.openxmlformats.org/officeDocument/2006/relationships/hyperlink" Target="https://realtynmore.com/batter-bar-coffee-cafe-at-cp67-mohali/" TargetMode="External"/><Relationship Id="rId342" Type="http://schemas.openxmlformats.org/officeDocument/2006/relationships/hyperlink" Target="https://www.instagram.com/pullandpourindia/" TargetMode="External"/><Relationship Id="rId343" Type="http://schemas.openxmlformats.org/officeDocument/2006/relationships/hyperlink" Target="https://www.zomato.com/chandigarh/pull-and-pour-speciality-coffee-sector-67-mohali/order" TargetMode="External"/><Relationship Id="rId344" Type="http://schemas.openxmlformats.org/officeDocument/2006/relationships/hyperlink" Target="https://www.district.in/dining/chandigarh/pull-and-pour-speciality-coffee-sector-67-mohali" TargetMode="External"/><Relationship Id="rId345" Type="http://schemas.openxmlformats.org/officeDocument/2006/relationships/hyperlink" Target="https://travell.cc/chandigarh/best-cafes-in-chandigarh/" TargetMode="External"/><Relationship Id="rId346" Type="http://schemas.openxmlformats.org/officeDocument/2006/relationships/hyperlink" Target="https://chdlife.com/top-14-best-cafes-in-chandigarh/" TargetMode="External"/><Relationship Id="rId347" Type="http://schemas.openxmlformats.org/officeDocument/2006/relationships/hyperlink" Target="https://travell.cc/chandigarh/best-cafes-in-chandigarh/" TargetMode="External"/><Relationship Id="rId348" Type="http://schemas.openxmlformats.org/officeDocument/2006/relationships/hyperlink" Target="https://travell.cc/chandigarh/best-cafes-in-chandigarh/" TargetMode="External"/><Relationship Id="rId349" Type="http://schemas.openxmlformats.org/officeDocument/2006/relationships/hyperlink" Target="https://refuje.com/blog/best-cafes-himachal-pradesh-every-town" TargetMode="External"/><Relationship Id="rId350" Type="http://schemas.openxmlformats.org/officeDocument/2006/relationships/hyperlink" Target="https://himlocal.com/blog/cafes-in-manali" TargetMode="External"/><Relationship Id="rId351" Type="http://schemas.openxmlformats.org/officeDocument/2006/relationships/hyperlink" Target="https://dharamshalaguide.com/cafes-in-mcleodganj/" TargetMode="External"/><Relationship Id="rId352" Type="http://schemas.openxmlformats.org/officeDocument/2006/relationships/hyperlink" Target="https://aristella.in/cafe-in-mussoorie-road-dehradun" TargetMode="External"/><Relationship Id="rId353" Type="http://schemas.openxmlformats.org/officeDocument/2006/relationships/hyperlink" Target="https://aristella.in/cafe-in-mussoorie-road-dehradun" TargetMode="External"/><Relationship Id="rId354" Type="http://schemas.openxmlformats.org/officeDocument/2006/relationships/hyperlink" Target="https://farzicafedehradun.com/best-cafe-in-dehradun.html" TargetMode="External"/><Relationship Id="rId355" Type="http://schemas.openxmlformats.org/officeDocument/2006/relationships/hyperlink" Target="https://www.baliyogaschool.com/10-best-cafes-in-rishikesh-for-food-vibe-and-best-working-space/" TargetMode="External"/><Relationship Id="rId356" Type="http://schemas.openxmlformats.org/officeDocument/2006/relationships/hyperlink" Target="https://roseatehotels.com/cafes/" TargetMode="External"/><Relationship Id="rId357" Type="http://schemas.openxmlformats.org/officeDocument/2006/relationships/hyperlink" Target="https://wanderlog.com/list/geoCategory/291116" TargetMode="External"/><Relationship Id="rId358" Type="http://schemas.openxmlformats.org/officeDocument/2006/relationships/hyperlink" Target="https://www.tripadvisor.in/Restaurants-g297625-zfg9900-Leh_Leh_District_Ladakh.html" TargetMode="External"/><Relationship Id="rId359" Type="http://schemas.openxmlformats.org/officeDocument/2006/relationships/hyperlink" Target="https://www.instagram.com/specialtycoffeehouseindia/" TargetMode="External"/><Relationship Id="rId360" Type="http://schemas.openxmlformats.org/officeDocument/2006/relationships/hyperlink" Target="https://www.instagram.com/specialtycoffeehouseindia/" TargetMode="External"/><Relationship Id="rId361" Type="http://schemas.openxmlformats.org/officeDocument/2006/relationships/hyperlink" Target="https://t2online.in/goodlife/food-beverage/flameback-cafe---kitchen-is-where-global-flavours-pair-up-with-world-coffee--t2-checked-it-out/2001719" TargetMode="External"/><Relationship Id="rId362" Type="http://schemas.openxmlformats.org/officeDocument/2006/relationships/hyperlink" Target="https://www.instagram.com/kulture_coffee/" TargetMode="External"/><Relationship Id="rId363" Type="http://schemas.openxmlformats.org/officeDocument/2006/relationships/hyperlink" Target="https://www.zomato.com/kolkata/kulture-specialty-coffee-bistro-park-street-area" TargetMode="External"/><Relationship Id="rId364" Type="http://schemas.openxmlformats.org/officeDocument/2006/relationships/hyperlink" Target="https://t2online.in/goodlife/food-beverage/t2-gets-you-the-first-look-of-kulture-specialty-coffee-bistro-the-new-dine-den-in-town/1462233" TargetMode="External"/><Relationship Id="rId365" Type="http://schemas.openxmlformats.org/officeDocument/2006/relationships/hyperlink" Target="https://www.artsyinkolkata.com/" TargetMode="External"/><Relationship Id="rId366" Type="http://schemas.openxmlformats.org/officeDocument/2006/relationships/hyperlink" Target="https://www.artsyinkolkata.com/" TargetMode="External"/><Relationship Id="rId367" Type="http://schemas.openxmlformats.org/officeDocument/2006/relationships/hyperlink" Target="https://www.instagram.com/colabcoffeecalcutta/" TargetMode="External"/><Relationship Id="rId368" Type="http://schemas.openxmlformats.org/officeDocument/2006/relationships/hyperlink" Target="https://www.instagram.com/colabcoffeecalcutta/" TargetMode="External"/><Relationship Id="rId369" Type="http://schemas.openxmlformats.org/officeDocument/2006/relationships/hyperlink" Target="https://www.instagram.com/cafecaptainamericano/" TargetMode="External"/><Relationship Id="rId370" Type="http://schemas.openxmlformats.org/officeDocument/2006/relationships/hyperlink" Target="https://www.instagram.com/cafecaptainamericano/" TargetMode="External"/><Relationship Id="rId371" Type="http://schemas.openxmlformats.org/officeDocument/2006/relationships/hyperlink" Target="https://www.instagram.com/amaricoffeenewtown/" TargetMode="External"/><Relationship Id="rId372" Type="http://schemas.openxmlformats.org/officeDocument/2006/relationships/hyperlink" Target="https://www.instagram.com/amaricoffeenewtown/" TargetMode="External"/><Relationship Id="rId373" Type="http://schemas.openxmlformats.org/officeDocument/2006/relationships/hyperlink" Target="https://www.cosmopolitan.in/life/features/story/forget-your-usual-cappuccino-these-are-the-coffee-orders-worth-switching-things-up-for-1436793-2026-08-13" TargetMode="External"/><Relationship Id="rId374" Type="http://schemas.openxmlformats.org/officeDocument/2006/relationships/hyperlink" Target="https://www.instagram.com/lineupcoffee_newtown/" TargetMode="External"/><Relationship Id="rId375" Type="http://schemas.openxmlformats.org/officeDocument/2006/relationships/hyperlink" Target="https://www.instagram.com/lineupcoffee_newtown/" TargetMode="External"/><Relationship Id="rId376" Type="http://schemas.openxmlformats.org/officeDocument/2006/relationships/hyperlink" Target="https://www.instagram.com/cafe82kolkata/" TargetMode="External"/><Relationship Id="rId377" Type="http://schemas.openxmlformats.org/officeDocument/2006/relationships/hyperlink" Target="https://www.instagram.com/cafe82kolkata/" TargetMode="External"/><Relationship Id="rId378" Type="http://schemas.openxmlformats.org/officeDocument/2006/relationships/hyperlink" Target="https://www.picokolkata.com/" TargetMode="External"/><Relationship Id="rId379" Type="http://schemas.openxmlformats.org/officeDocument/2006/relationships/hyperlink" Target="https://www.picokolkata.com/" TargetMode="External"/><Relationship Id="rId380" Type="http://schemas.openxmlformats.org/officeDocument/2006/relationships/hyperlink" Target="https://t2online.in/goodlife/food-beverage/whizz-coffee-from-craft-coffee-box-is-brewing-a-new-sip-culture-where-artisanal-cups-meet-affordable-prices/2008421" TargetMode="External"/><Relationship Id="rId381" Type="http://schemas.openxmlformats.org/officeDocument/2006/relationships/hyperlink" Target="https://www.instagram.com/8thdaycafe/" TargetMode="External"/><Relationship Id="rId382" Type="http://schemas.openxmlformats.org/officeDocument/2006/relationships/hyperlink" Target="https://t2online.in/goodlife/food-beverage/8th-day-caf----bakery-brews-big-in-new-town-with-its-fifth-kolkata-outlet/2003182" TargetMode="External"/><Relationship Id="rId383" Type="http://schemas.openxmlformats.org/officeDocument/2006/relationships/hyperlink" Target="https://www.instagram.com/thecoffeeshop.slg/" TargetMode="External"/><Relationship Id="rId384" Type="http://schemas.openxmlformats.org/officeDocument/2006/relationships/hyperlink" Target="https://www.instagram.com/thecoffeeshop.slg/" TargetMode="External"/><Relationship Id="rId385" Type="http://schemas.openxmlformats.org/officeDocument/2006/relationships/hyperlink" Target="https://restaurant-guru.in/cafe-Bhubaneswar-t6" TargetMode="External"/><Relationship Id="rId386" Type="http://schemas.openxmlformats.org/officeDocument/2006/relationships/hyperlink" Target="https://www.instagram.com/cafe13patna/" TargetMode="External"/><Relationship Id="rId387" Type="http://schemas.openxmlformats.org/officeDocument/2006/relationships/hyperlink" Target="https://www.instagram.com/cafe13patna/" TargetMode="External"/><Relationship Id="rId388" Type="http://schemas.openxmlformats.org/officeDocument/2006/relationships/hyperlink" Target="https://www.pulled.coffee/shop/cafe-hideout-patna-5" TargetMode="External"/><Relationship Id="rId389" Type="http://schemas.openxmlformats.org/officeDocument/2006/relationships/hyperlink" Target="https://www.instagram.com/brewhaus.ranchi/" TargetMode="External"/><Relationship Id="rId390" Type="http://schemas.openxmlformats.org/officeDocument/2006/relationships/hyperlink" Target="https://www.instagram.com/brewhaus.ranchi/" TargetMode="External"/><Relationship Id="rId391" Type="http://schemas.openxmlformats.org/officeDocument/2006/relationships/hyperlink" Target="https://yappe.in/assam/guwahati/coffee-shop" TargetMode="External"/><Relationship Id="rId392" Type="http://schemas.openxmlformats.org/officeDocument/2006/relationships/hyperlink" Target="https://yappe.in/assam/guwahati/coffee-shop" TargetMode="External"/><Relationship Id="rId393" Type="http://schemas.openxmlformats.org/officeDocument/2006/relationships/hyperlink" Target="https://eastmojo.com/lifestyle/2020/08/31/black-art-coffee-in-guwahati-celebrating-art-one-cup-at-a-time/" TargetMode="External"/><Relationship Id="rId394" Type="http://schemas.openxmlformats.org/officeDocument/2006/relationships/hyperlink" Target="https://www.instagram.com/cafe138_/" TargetMode="External"/><Relationship Id="rId395" Type="http://schemas.openxmlformats.org/officeDocument/2006/relationships/hyperlink" Target="https://www.instagram.com/cafe138_/" TargetMode="External"/><Relationship Id="rId396" Type="http://schemas.openxmlformats.org/officeDocument/2006/relationships/hyperlink" Target="https://curlytales.com/rajkummar-rao-spotted-at-a-cosy-shillong-cafe-its-specialty-coffee-is-worth-a-trip-to-meghalaya/" TargetMode="External"/><Relationship Id="rId397" Type="http://schemas.openxmlformats.org/officeDocument/2006/relationships/hyperlink" Target="https://www.hotelpolotowers.com/our-cafes/ml-05.html" TargetMode="External"/><Relationship Id="rId398" Type="http://schemas.openxmlformats.org/officeDocument/2006/relationships/hyperlink" Target="https://xtsy.one/cafes-in-shillong" TargetMode="External"/><Relationship Id="rId399" Type="http://schemas.openxmlformats.org/officeDocument/2006/relationships/hyperlink" Target="https://www.instagram.com/bisaunigangtok/" TargetMode="External"/><Relationship Id="rId400" Type="http://schemas.openxmlformats.org/officeDocument/2006/relationships/hyperlink" Target="https://www.instagram.com/bisaunigangtok/" TargetMode="External"/><Relationship Id="rId401" Type="http://schemas.openxmlformats.org/officeDocument/2006/relationships/hyperlink" Target="https://travelsetu.com/apps/blog/coffee-culture-in-gangtok-best-cafes-to-visit" TargetMode="External"/><Relationship Id="rId402" Type="http://schemas.openxmlformats.org/officeDocument/2006/relationships/hyperlink" Target="https://www.instagram.com/thecoffeeshop.gtk/" TargetMode="External"/><Relationship Id="rId403" Type="http://schemas.openxmlformats.org/officeDocument/2006/relationships/hyperlink" Target="https://www.instagram.com/thecoffeeshop.gtk/" TargetMode="External"/><Relationship Id="rId404" Type="http://schemas.openxmlformats.org/officeDocument/2006/relationships/hyperlink" Target="https://www.instagram.com/nagacoffeeexpress/" TargetMode="External"/><Relationship Id="rId405" Type="http://schemas.openxmlformats.org/officeDocument/2006/relationships/hyperlink" Target="https://www.instagram.com/nagacoffeeexpress/" TargetMode="External"/><Relationship Id="rId406" Type="http://schemas.openxmlformats.org/officeDocument/2006/relationships/hyperlink" Target="https://oddessemania.in/best-cafes-in-aizawl/" TargetMode="External"/><Relationship Id="rId407" Type="http://schemas.openxmlformats.org/officeDocument/2006/relationships/hyperlink" Target="https://www.instagram.com/aizawl.coffee.house/" TargetMode="External"/><Relationship Id="rId408" Type="http://schemas.openxmlformats.org/officeDocument/2006/relationships/hyperlink" Target="https://www.instagram.com/aizawl.coffee.house/" TargetMode="External"/><Relationship Id="rId409" Type="http://schemas.openxmlformats.org/officeDocument/2006/relationships/hyperlink" Target="https://www.instagram.com/booksandcoffee_imphal/" TargetMode="External"/><Relationship Id="rId410" Type="http://schemas.openxmlformats.org/officeDocument/2006/relationships/hyperlink" Target="https://www.instagram.com/booksandcoffee_imphal/" TargetMode="External"/><Relationship Id="rId411" Type="http://schemas.openxmlformats.org/officeDocument/2006/relationships/hyperlink" Target="https://www.instagram.com/frespresso.agt/" TargetMode="External"/><Relationship Id="rId412" Type="http://schemas.openxmlformats.org/officeDocument/2006/relationships/hyperlink" Target="https://www.instagram.com/frespresso.agt/" TargetMode="External"/><Relationship Id="rId413"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instagram.com/coffeebond/" TargetMode="External"/><Relationship Id="rId2" Type="http://schemas.openxmlformats.org/officeDocument/2006/relationships/hyperlink" Target="https://www.timeout.com/mumbai/news/boojee-cafe-is-opening-a-new-outlet-at-one-bkc-in-mumbai-082026" TargetMode="External"/><Relationship Id="rId3" Type="http://schemas.openxmlformats.org/officeDocument/2006/relationships/hyperlink" Target="https://www.instagram.com/cafeserenity_pune/" TargetMode="External"/><Relationship Id="rId4" Type="http://schemas.openxmlformats.org/officeDocument/2006/relationships/hyperlink" Target="https://www.restaurantindia.in/news/restaurant-india-news-coffee-capital-launches-in-mumbai-with-34-cover-speciality-caf-format.n15399" TargetMode="External"/><Relationship Id="rId5" Type="http://schemas.openxmlformats.org/officeDocument/2006/relationships/hyperlink" Target="https://foodiesofindia.wordpress.com/2026/03/01/new-restaurants-in-mumbai-march-2026-round-up-25-new-openings/" TargetMode="External"/><Relationship Id="rId6" Type="http://schemas.openxmlformats.org/officeDocument/2006/relationships/hyperlink" Target="https://foodiesofindia.wordpress.com/2026/08/04/new-restaurants-cafes-in-mumbai-august-2026/" TargetMode="External"/><Relationship Id="rId7" Type="http://schemas.openxmlformats.org/officeDocument/2006/relationships/hyperlink" Target="https://www.restaurantindia.in/news/aspect-hospitality-expands-fb-portfolio-with-joker-in-bandra.n16905" TargetMode="External"/><Relationship Id="rId8" Type="http://schemas.openxmlformats.org/officeDocument/2006/relationships/hyperlink" Target="https://foodiesofindia.wordpress.com/2026/01/15/january-2026-30-new-restaurants-cafes-in-mumbai-you-need-to-check-out/" TargetMode="External"/><Relationship Id="rId9" Type="http://schemas.openxmlformats.org/officeDocument/2006/relationships/hyperlink" Target="https://foodiesofindia.wordpress.com/2026/08/04/new-restaurants-cafes-in-mumbai-august-2026/" TargetMode="External"/><Relationship Id="rId10" Type="http://schemas.openxmlformats.org/officeDocument/2006/relationships/hyperlink" Target="https://foodiesofindia.wordpress.com/2026/04/02/20-new-restaurants-in-mumbai-to-check-out-april-2026/" TargetMode="External"/><Relationship Id="rId11" Type="http://schemas.openxmlformats.org/officeDocument/2006/relationships/hyperlink" Target="https://indianretailer.com/news/stand-coffee-expands-mumbai-footprint-new-juhu-outlet" TargetMode="External"/><Relationship Id="rId12" Type="http://schemas.openxmlformats.org/officeDocument/2006/relationships/hyperlink" Target="https://www.restaurantindia.in/news/thought-coffee-opens-bandra-flagship-as-mumbai-quick-service-coffee-market-expands.n17296" TargetMode="External"/><Relationship Id="rId13" Type="http://schemas.openxmlformats.org/officeDocument/2006/relationships/hyperlink" Target="https://foodiesofindia.wordpress.com/2026/06/01/june-2026-new-restaurants-in-mumbai-you-need-to-visit/" TargetMode="External"/><Relationship Id="rId14" Type="http://schemas.openxmlformats.org/officeDocument/2006/relationships/hyperlink" Target="https://yourstory.com/ys-life/the-second-house-goa-lento-cafe" TargetMode="External"/><Relationship Id="rId15" Type="http://schemas.openxmlformats.org/officeDocument/2006/relationships/hyperlink" Target="https://www.restaurantindia.in/news/momoka-opens-japanese-kissaten-inspired-caf-on-punes-prabhat-road.n16884" TargetMode="External"/><Relationship Id="rId16" Type="http://schemas.openxmlformats.org/officeDocument/2006/relationships/hyperlink" Target="https://www.district.in/blog/speciality-coffee-cafes-goa" TargetMode="External"/><Relationship Id="rId17" Type="http://schemas.openxmlformats.org/officeDocument/2006/relationships/hyperlink" Target="https://www.instagram.com/moreovercoffee_india/" TargetMode="External"/><Relationship Id="rId18" Type="http://schemas.openxmlformats.org/officeDocument/2006/relationships/hyperlink" Target="https://www.restaurantindia.in/news/carbon-opens-third-caf-in-jaipur-with-new-vaishali-nagar-outlet.n16924" TargetMode="External"/><Relationship Id="rId19" Type="http://schemas.openxmlformats.org/officeDocument/2006/relationships/hyperlink" Target="https://thenodmag.com/content/jacobs-brew-house-jaipur-cafe-coffee-house-review" TargetMode="External"/><Relationship Id="rId20" Type="http://schemas.openxmlformats.org/officeDocument/2006/relationships/hyperlink" Target="https://www.outlooktraveller.com/ot-pours/traut-coffee-house-opens-doors-as-jaipurs-newest-coffee-hotspot" TargetMode="External"/><Relationship Id="rId21" Type="http://schemas.openxmlformats.org/officeDocument/2006/relationships/hyperlink" Target="https://www.thelabmagofficial.com/new-restaurants-cafes-and-bars-to-try-across-india-this-september/" TargetMode="External"/><Relationship Id="rId22" Type="http://schemas.openxmlformats.org/officeDocument/2006/relationships/hyperlink" Target="https://thenodmag.com/content/the-drop-hauz-khas-delhi-indian-specialty-coffee-roastery-review" TargetMode="External"/><Relationship Id="rId23" Type="http://schemas.openxmlformats.org/officeDocument/2006/relationships/hyperlink" Target="https://thenodmag.com/content/where-to-eat-this-june-in-delhi-ncr" TargetMode="External"/><Relationship Id="rId24" Type="http://schemas.openxmlformats.org/officeDocument/2006/relationships/hyperlink" Target="https://www.outlooktraveller.com/ot-pours/drop-in-at-the-drop-and-find-your-jaws-dropped" TargetMode="External"/><Relationship Id="rId25" Type="http://schemas.openxmlformats.org/officeDocument/2006/relationships/hyperlink" Target="https://www.outlooktraveller.com/ot-pours" TargetMode="External"/><Relationship Id="rId26" Type="http://schemas.openxmlformats.org/officeDocument/2006/relationships/hyperlink" Target="https://thenodmag.com/content/new-restaurants-bars-menus-delhi-may-2026" TargetMode="External"/><Relationship Id="rId27" Type="http://schemas.openxmlformats.org/officeDocument/2006/relationships/hyperlink" Target="https://www.restaurantindia.in/news/oro-opens-flagship-specialty-coffee-caf-in-gurugram.n17284" TargetMode="External"/><Relationship Id="rId28" Type="http://schemas.openxmlformats.org/officeDocument/2006/relationships/hyperlink" Target="https://www.knocksense.com/lucknow/5-new-coffee-spots-in-lucknow-worth-adding-to-your-caf&#233;-hopping-list" TargetMode="External"/><Relationship Id="rId29" Type="http://schemas.openxmlformats.org/officeDocument/2006/relationships/hyperlink" Target="https://www.knocksense.com/lucknow/5-new-coffee-spots-in-lucknow-worth-adding-to-your-caf&#233;-hopping-list" TargetMode="External"/><Relationship Id="rId30" Type="http://schemas.openxmlformats.org/officeDocument/2006/relationships/hyperlink" Target="https://t2online.in/goodlife/food-beverage/flameback-cafe---kitchen-is-where-global-flavours-pair-up-with-world-coffee--t2-checked-it-out/2001719" TargetMode="External"/><Relationship Id="rId31" Type="http://schemas.openxmlformats.org/officeDocument/2006/relationships/hyperlink" Target="https://www.restaurantindia.in/news/restaurant-india-news-brev-opens-new-flagship-caf-in-bandra-expands-community-focused-coffee-concept.n16397" TargetMode="External"/><Relationship Id="rId32" Type="http://schemas.openxmlformats.org/officeDocument/2006/relationships/hyperlink" Target="https://aninews.in/news/business/harsh-kedia-and-arihant-jain-launch-cocoa-amp-katli-a-caf233-that-redefines-mindful-indulgence-for-the-conscious-mumbaikar20261021121947/" TargetMode="External"/><Relationship Id="rId33" Type="http://schemas.openxmlformats.org/officeDocument/2006/relationships/hyperlink" Target="https://www.restaurantindia.in/news/restaurant-india-news-javaphile-caf-opens-in-worli-mumbai.n14931" TargetMode="External"/><Relationship Id="rId34" Type="http://schemas.openxmlformats.org/officeDocument/2006/relationships/hyperlink" Target="https://foodiesofindia.wordpress.com/2026/04/02/20-new-restaurants-in-mumbai-to-check-out-april-2026/" TargetMode="External"/><Relationship Id="rId35" Type="http://schemas.openxmlformats.org/officeDocument/2006/relationships/hyperlink" Target="https://indianretailer.com/news/rola-opens-new-all-day-diner-bandra" TargetMode="External"/><Relationship Id="rId36" Type="http://schemas.openxmlformats.org/officeDocument/2006/relationships/hyperlink" Target="https://oteats.outlooktraveller.com/features/guides/jaipur-is-entering-its-coffee-smart-era-and-these-spots-prove-it" TargetMode="External"/><Relationship Id="rId37" Type="http://schemas.openxmlformats.org/officeDocument/2006/relationships/hyperlink" Target="https://www.oteats.outlooktraveller.com/features/guides/delhis-newest-openings-that-you-must-look-out-for-this-february" TargetMode="External"/><Relationship Id="rId38" Type="http://schemas.openxmlformats.org/officeDocument/2006/relationships/hyperlink" Target="https://www.thelabmagofficial.com/new-tables-for-october-the-delhi-ncr-restaurants-cafes-and-bars-to-try/" TargetMode="External"/><Relationship Id="rId39" Type="http://schemas.openxmlformats.org/officeDocument/2006/relationships/hyperlink" Target="https://www.thelabmagofficial.com/new-restaurants-cafes-and-bars-to-try-across-india-this-september/" TargetMode="External"/><Relationship Id="rId40" Type="http://schemas.openxmlformats.org/officeDocument/2006/relationships/hyperlink" Target="https://www.restaurantindia.in/news/restaurant-india-news-kokoy-launches-caf-in-gurugram-enters-premium-all-day-dining-segment.n14880" TargetMode="External"/><Relationship Id="rId41" Type="http://schemas.openxmlformats.org/officeDocument/2006/relationships/hyperlink" Target="https://www.thelabmagofficial.com/new-tables-for-october-the-delhi-ncr-restaurants-cafes-and-bars-to-try/" TargetMode="External"/><Relationship Id="rId42" Type="http://schemas.openxmlformats.org/officeDocument/2006/relationships/hyperlink" Target="https://www.knocksense.com/lucknow/5-new-coffee-spots-in-lucknow-worth-adding-to-your-caf&#233;-hopping-list" TargetMode="External"/><Relationship Id="rId43" Type="http://schemas.openxmlformats.org/officeDocument/2006/relationships/hyperlink" Target="https://realtynmore.com/batter-bar-coffee-cafe-at-cp67-mohali/" TargetMode="External"/><Relationship Id="rId44" Type="http://schemas.openxmlformats.org/officeDocument/2006/relationships/hyperlink" Target="https://www.instagram.com/brewhaus.ranchi/" TargetMode="External"/><Relationship Id="rId45" Type="http://schemas.openxmlformats.org/officeDocument/2006/relationships/hyperlink" Target="https://www.indianretailer.com/news/cafe-quattro-opens-second-mumbai-cafe-mumbai" TargetMode="External"/><Relationship Id="rId46" Type="http://schemas.openxmlformats.org/officeDocument/2006/relationships/hyperlink" Target="https://www.mansworldindia.com/lifestyle/mw-restaurant-update-every-place-you-need-to-check-out-in-mumbai-right-now" TargetMode="External"/><Relationship Id="rId47" Type="http://schemas.openxmlformats.org/officeDocument/2006/relationships/hyperlink" Target="https://foodiesofindia.wordpress.com/2026/01/15/january-2026-30-new-restaurants-cafes-in-mumbai-you-need-to-check-out/" TargetMode="External"/><Relationship Id="rId48" Type="http://schemas.openxmlformats.org/officeDocument/2006/relationships/hyperlink" Target="https://www.esquireindia.co.in/food-and-drinks/what-to-eat/from-rola-to-the-mahjong-club-9-new-restaurants-and-caf&#233;s-in-mumbai-to-try-this-september" TargetMode="External"/><Relationship Id="rId49" Type="http://schemas.openxmlformats.org/officeDocument/2006/relationships/hyperlink" Target="https://foodiesofindia.wordpress.com/2026/02/01/february-2026-new-restaurants-in-mumbai-you-need-to-try/" TargetMode="External"/><Relationship Id="rId50" Type="http://schemas.openxmlformats.org/officeDocument/2006/relationships/hyperlink" Target="https://www.restaurantindia.in/news/notfar-opens-in-bandra-with-specialty-cookies-cupcakes-and-coffee.n16686" TargetMode="External"/><Relationship Id="rId51" Type="http://schemas.openxmlformats.org/officeDocument/2006/relationships/hyperlink" Target="https://foodiesofindia.wordpress.com/2026/06/01/june-2026-new-restaurants-in-mumbai-you-need-to-visit/" TargetMode="External"/><Relationship Id="rId52" Type="http://schemas.openxmlformats.org/officeDocument/2006/relationships/hyperlink" Target="https://www.thestylelist.in/post/new-restaurants-cafes-bars-india" TargetMode="External"/><Relationship Id="rId53" Type="http://schemas.openxmlformats.org/officeDocument/2006/relationships/hyperlink" Target="https://foodiesofindia.wordpress.com/tag/new-restaurants-in-mumbai/" TargetMode="External"/><Relationship Id="rId54" Type="http://schemas.openxmlformats.org/officeDocument/2006/relationships/hyperlink" Target="https://www.esquireindia.co.in/food-and-drinks/what-to-eat/from-rola-to-the-mahjong-club-9-new-restaurants-and-caf&#233;s-in-mumbai-to-try-this-september" TargetMode="External"/><Relationship Id="rId55" Type="http://schemas.openxmlformats.org/officeDocument/2006/relationships/hyperlink" Target="https://www.thestylelist.in/post/new-restaurants-cafes-bars-india" TargetMode="External"/><Relationship Id="rId56" Type="http://schemas.openxmlformats.org/officeDocument/2006/relationships/hyperlink" Target="https://www.restaurantindia.in/news/vanilla-miel-opens-second-mumbai-caf-at-lodha-signet-lower-parel.n17346" TargetMode="External"/><Relationship Id="rId57" Type="http://schemas.openxmlformats.org/officeDocument/2006/relationships/hyperlink" Target="https://crushcoffee.vercel.app/" TargetMode="External"/><Relationship Id="rId58" Type="http://schemas.openxmlformats.org/officeDocument/2006/relationships/hyperlink" Target="https://www.restaurantindia.in/news/restaurant-india-news-aami-caf-bistro-opens-its-doors-in-candolim-goa.n16290" TargetMode="External"/><Relationship Id="rId59" Type="http://schemas.openxmlformats.org/officeDocument/2006/relationships/hyperlink" Target="https://travellerscoop.com/must-try-new-restaurants-in-goa-openings/" TargetMode="External"/><Relationship Id="rId60" Type="http://schemas.openxmlformats.org/officeDocument/2006/relationships/hyperlink" Target="https://oteats.outlooktraveller.com/features/guides/jaipur-is-entering-its-coffee-smart-era-and-these-spots-prove-it" TargetMode="External"/><Relationship Id="rId61" Type="http://schemas.openxmlformats.org/officeDocument/2006/relationships/hyperlink" Target="https://www.thelabmagofficial.com/best-new-restaurants-cafes-bars-in-india-to-visit-in-august-2026/" TargetMode="External"/><Relationship Id="rId62" Type="http://schemas.openxmlformats.org/officeDocument/2006/relationships/hyperlink" Target="https://www.worldcoffeeportal.com/news/indias-fes-cafe-appoints-former-blue-tokai-executive-following-1m-fundraise/" TargetMode="External"/><Relationship Id="rId63" Type="http://schemas.openxmlformats.org/officeDocument/2006/relationships/hyperlink" Target="https://www.thelabmagofficial.com/new-tables-for-october-the-delhi-ncr-restaurants-cafes-and-bars-to-try/" TargetMode="External"/><Relationship Id="rId64" Type="http://schemas.openxmlformats.org/officeDocument/2006/relationships/hyperlink" Target="https://lbb.in/delhi/best-restaurants-cafes-delhi/" TargetMode="External"/><Relationship Id="rId65" Type="http://schemas.openxmlformats.org/officeDocument/2006/relationships/hyperlink" Target="https://indianretailer.com/news/butterhands-makes-delhi-ncr-debut-flagship-store-saket" TargetMode="External"/><Relationship Id="rId66" Type="http://schemas.openxmlformats.org/officeDocument/2006/relationships/hyperlink" Target="https://www.knocksense.com/lucknow/5-new-coffee-spots-in-lucknow-worth-adding-to-your-caf&#233;-hopping-list" TargetMode="External"/><Relationship Id="rId67" Type="http://schemas.openxmlformats.org/officeDocument/2006/relationships/hyperlink" Target="https://zipbiz.in/hidden-cafes-chandigarh-mohali/" TargetMode="External"/><Relationship Id="rId68" Type="http://schemas.openxmlformats.org/officeDocument/2006/relationships/hyperlink" Target="https://foodiesofindia.wordpress.com/2025/11/03/25-new-restaurants-cafes-in-mumbai-you-need-to-try-this-november-2025/" TargetMode="External"/><Relationship Id="rId69" Type="http://schemas.openxmlformats.org/officeDocument/2006/relationships/hyperlink" Target="https://foodiesofindia.wordpress.com/2025/10/01/25-new-restaurants-cafes-to-check-out-in-mumbai-this-october-2025/" TargetMode="External"/><Relationship Id="rId70" Type="http://schemas.openxmlformats.org/officeDocument/2006/relationships/hyperlink" Target="https://www.instagram.com/linzz.csn/" TargetMode="External"/><Relationship Id="rId71" Type="http://schemas.openxmlformats.org/officeDocument/2006/relationships/hyperlink" Target="https://www.localspecialtycoffee.com/cities/specialty-coffee-mumbai/single-origin" TargetMode="External"/><Relationship Id="rId72" Type="http://schemas.openxmlformats.org/officeDocument/2006/relationships/hyperlink" Target="https://www.glassdoor.co.in/Job/mumbai-barista-jobs-SRCH_IL.0,6_IC2851180_KO7,14.htm" TargetMode="External"/><Relationship Id="rId73" Type="http://schemas.openxmlformats.org/officeDocument/2006/relationships/hyperlink" Target="https://www.instagram.com/mazicoffee/" TargetMode="External"/><Relationship Id="rId74" Type="http://schemas.openxmlformats.org/officeDocument/2006/relationships/hyperlink" Target="https://www.district.in/blog/speciality-coffee-spots-mumbai" TargetMode="External"/><Relationship Id="rId75" Type="http://schemas.openxmlformats.org/officeDocument/2006/relationships/hyperlink" Target="https://www.restaurantindia.in/news/bastian-hospitality-enters-coffee-space-with-blondie.n12554" TargetMode="External"/><Relationship Id="rId76" Type="http://schemas.openxmlformats.org/officeDocument/2006/relationships/hyperlink" Target="https://mumbaicoffeecollective.com/pages/specialty-coffee-mumbai" TargetMode="External"/><Relationship Id="rId77" Type="http://schemas.openxmlformats.org/officeDocument/2006/relationships/hyperlink" Target="https://www.instagram.com/sheltercafe.mumbai/" TargetMode="External"/><Relationship Id="rId78" Type="http://schemas.openxmlformats.org/officeDocument/2006/relationships/hyperlink" Target="https://www.instagram.com/thebrewcafemumbai/" TargetMode="External"/><Relationship Id="rId79" Type="http://schemas.openxmlformats.org/officeDocument/2006/relationships/hyperlink" Target="https://www.instagram.com/bokkacoffeemumbai/" TargetMode="External"/><Relationship Id="rId80" Type="http://schemas.openxmlformats.org/officeDocument/2006/relationships/hyperlink" Target="https://www.nagpurtoday.in/best-cafes-in-nagpur-2026-our-independent-ranking-based-on-reviews-coffee-quality-ambience-customer-experience/" TargetMode="External"/><Relationship Id="rId81" Type="http://schemas.openxmlformats.org/officeDocument/2006/relationships/hyperlink" Target="https://www.instagram.com/oros_india/" TargetMode="External"/><Relationship Id="rId82" Type="http://schemas.openxmlformats.org/officeDocument/2006/relationships/hyperlink" Target="https://www.nagpurtoday.in/best-cafes-in-nagpur-2026-our-independent-ranking-based-on-reviews-coffee-quality-ambience-customer-experience/" TargetMode="External"/><Relationship Id="rId83" Type="http://schemas.openxmlformats.org/officeDocument/2006/relationships/hyperlink" Target="https://rokazu.com/coffee-shops-in-nagpur-india/" TargetMode="External"/><Relationship Id="rId84" Type="http://schemas.openxmlformats.org/officeDocument/2006/relationships/hyperlink" Target="https://www.instagram.com/brewincafe_nagpur/" TargetMode="External"/><Relationship Id="rId85" Type="http://schemas.openxmlformats.org/officeDocument/2006/relationships/hyperlink" Target="https://www.instagram.com/coffeebooco/" TargetMode="External"/><Relationship Id="rId86" Type="http://schemas.openxmlformats.org/officeDocument/2006/relationships/hyperlink" Target="https://www.instagram.com/pilgrimcoffee.in/" TargetMode="External"/><Relationship Id="rId87" Type="http://schemas.openxmlformats.org/officeDocument/2006/relationships/hyperlink" Target="https://navimumbaihub.com/best-cafes-navi-mumbai/" TargetMode="External"/><Relationship Id="rId88" Type="http://schemas.openxmlformats.org/officeDocument/2006/relationships/hyperlink" Target="https://www.instagram.com/panachespecialtycoffee/" TargetMode="External"/><Relationship Id="rId89" Type="http://schemas.openxmlformats.org/officeDocument/2006/relationships/hyperlink" Target="https://curlytales.com/punes-bustling-cafe-culture-gets-a-new-chic-coffee-place-one-world-the-coffee-studio/amp/" TargetMode="External"/><Relationship Id="rId90" Type="http://schemas.openxmlformats.org/officeDocument/2006/relationships/hyperlink" Target="https://www.instagram.com/bookbarpune/" TargetMode="External"/><Relationship Id="rId91" Type="http://schemas.openxmlformats.org/officeDocument/2006/relationships/hyperlink" Target="https://echai.ventures/grid/pune/caffeowl-coffee" TargetMode="External"/><Relationship Id="rId92" Type="http://schemas.openxmlformats.org/officeDocument/2006/relationships/hyperlink" Target="https://www.yukio.in/blog/best-coffee-places-in-pune/" TargetMode="External"/><Relationship Id="rId93" Type="http://schemas.openxmlformats.org/officeDocument/2006/relationships/hyperlink" Target="https://coffeegearguides.com/cafes/best-coffee-shops-in-pune" TargetMode="External"/><Relationship Id="rId94" Type="http://schemas.openxmlformats.org/officeDocument/2006/relationships/hyperlink" Target="https://coffeegearguides.com/cafes/best-coffee-shops-in-pune" TargetMode="External"/><Relationship Id="rId95" Type="http://schemas.openxmlformats.org/officeDocument/2006/relationships/hyperlink" Target="https://www.instagram.com/tham.coffee/" TargetMode="External"/><Relationship Id="rId96" Type="http://schemas.openxmlformats.org/officeDocument/2006/relationships/hyperlink" Target="https://lbb.in/delhi/best-coffee-places-pune" TargetMode="External"/><Relationship Id="rId97" Type="http://schemas.openxmlformats.org/officeDocument/2006/relationships/hyperlink" Target="https://www.instagram.com/mainline.coffee/" TargetMode="External"/><Relationship Id="rId98" Type="http://schemas.openxmlformats.org/officeDocument/2006/relationships/hyperlink" Target="https://theappbarista.com/blog/best-cafes-ahmedabad" TargetMode="External"/><Relationship Id="rId99" Type="http://schemas.openxmlformats.org/officeDocument/2006/relationships/hyperlink" Target="https://www.instagram.com/z27coffeebarahmedabad/" TargetMode="External"/><Relationship Id="rId100" Type="http://schemas.openxmlformats.org/officeDocument/2006/relationships/hyperlink" Target="https://theappbarista.com/blog/best-cafes-ahmedabad" TargetMode="External"/><Relationship Id="rId101" Type="http://schemas.openxmlformats.org/officeDocument/2006/relationships/hyperlink" Target="https://theappbarista.com/blog/best-cafes-ahmedabad" TargetMode="External"/><Relationship Id="rId102" Type="http://schemas.openxmlformats.org/officeDocument/2006/relationships/hyperlink" Target="https://knocksense.com/ahmedabad/coffee-chronicles-mleko-cafes-enchanting-presence-in-ahmedabad-is-winning-over-hearts" TargetMode="External"/><Relationship Id="rId103" Type="http://schemas.openxmlformats.org/officeDocument/2006/relationships/hyperlink" Target="https://www.district.in/blog/everyday-cafes-ahmedabad" TargetMode="External"/><Relationship Id="rId104" Type="http://schemas.openxmlformats.org/officeDocument/2006/relationships/hyperlink" Target="https://www.instagram.com/caffotto.rajkot/" TargetMode="External"/><Relationship Id="rId105" Type="http://schemas.openxmlformats.org/officeDocument/2006/relationships/hyperlink" Target="https://kupi.com/en/explore/india/rajkot/dough-and-doppio" TargetMode="External"/><Relationship Id="rId106" Type="http://schemas.openxmlformats.org/officeDocument/2006/relationships/hyperlink" Target="https://www.instagram.com/bbcafe.surat/" TargetMode="External"/><Relationship Id="rId107" Type="http://schemas.openxmlformats.org/officeDocument/2006/relationships/hyperlink" Target="https://perfectdailygrind.com/2019/03/a-specialty-coffee-shop-tour-of-gujarat-rajasthan/" TargetMode="External"/><Relationship Id="rId108" Type="http://schemas.openxmlformats.org/officeDocument/2006/relationships/hyperlink" Target="https://www.instagram.com/40feet_coffee/" TargetMode="External"/><Relationship Id="rId109" Type="http://schemas.openxmlformats.org/officeDocument/2006/relationships/hyperlink" Target="https://travelroach.com/ultimate-guide-best-cafes-surat/" TargetMode="External"/><Relationship Id="rId110" Type="http://schemas.openxmlformats.org/officeDocument/2006/relationships/hyperlink" Target="https://www.pulled.coffee/shop/enso-coffee-surat" TargetMode="External"/><Relationship Id="rId111" Type="http://schemas.openxmlformats.org/officeDocument/2006/relationships/hyperlink" Target="https://www.pulled.coffee/shop/livestream-coffee-vesu-surat" TargetMode="External"/><Relationship Id="rId112" Type="http://schemas.openxmlformats.org/officeDocument/2006/relationships/hyperlink" Target="https://www.pulled.coffee/shop/lower-ground-coffee-surat-2" TargetMode="External"/><Relationship Id="rId113" Type="http://schemas.openxmlformats.org/officeDocument/2006/relationships/hyperlink" Target="https://www.pulled.coffee/shop/moonstruck-coffee-surat-2" TargetMode="External"/><Relationship Id="rId114" Type="http://schemas.openxmlformats.org/officeDocument/2006/relationships/hyperlink" Target="https://www.pulled.coffee/shop/nothing-before-coffee-sns-arista-vesu-surat-surat-2" TargetMode="External"/><Relationship Id="rId115" Type="http://schemas.openxmlformats.org/officeDocument/2006/relationships/hyperlink" Target="https://echai.ventures/grid/surat/the-flat-white-coffee-house" TargetMode="External"/><Relationship Id="rId116" Type="http://schemas.openxmlformats.org/officeDocument/2006/relationships/hyperlink" Target="https://echai.ventures/surat/cafes/across-surat" TargetMode="External"/><Relationship Id="rId117" Type="http://schemas.openxmlformats.org/officeDocument/2006/relationships/hyperlink" Target="https://www.instagram.com/801coffee/" TargetMode="External"/><Relationship Id="rId118" Type="http://schemas.openxmlformats.org/officeDocument/2006/relationships/hyperlink" Target="https://www.instagram.com/cafepulp__/" TargetMode="External"/><Relationship Id="rId119" Type="http://schemas.openxmlformats.org/officeDocument/2006/relationships/hyperlink" Target="https://travelroach.com/ultimate-guide-best-cafes-surat/" TargetMode="External"/><Relationship Id="rId120" Type="http://schemas.openxmlformats.org/officeDocument/2006/relationships/hyperlink" Target="https://www.instagram.com/brewito.coffee/" TargetMode="External"/><Relationship Id="rId121" Type="http://schemas.openxmlformats.org/officeDocument/2006/relationships/hyperlink" Target="https://magicpin.in/Vadodara/Alkapuri/Restaurant/Curators-Coffee/store/636b96" TargetMode="External"/><Relationship Id="rId122" Type="http://schemas.openxmlformats.org/officeDocument/2006/relationships/hyperlink" Target="https://www.kuberproperty.in/blog/top-10-cafes-in-vadodara-2026" TargetMode="External"/><Relationship Id="rId123" Type="http://schemas.openxmlformats.org/officeDocument/2006/relationships/hyperlink" Target="https://www.instagram.com/_coffeeyard_/" TargetMode="External"/><Relationship Id="rId124" Type="http://schemas.openxmlformats.org/officeDocument/2006/relationships/hyperlink" Target="https://www.instagram.com/babka.goa/" TargetMode="External"/><Relationship Id="rId125" Type="http://schemas.openxmlformats.org/officeDocument/2006/relationships/hyperlink" Target="https://www.stayvista.com/blog/best-cafes-in-anjuna-goa-2026-offbeat-and-work-friendly-spots/" TargetMode="External"/><Relationship Id="rId126" Type="http://schemas.openxmlformats.org/officeDocument/2006/relationships/hyperlink" Target="https://www.stayvista.com/blog/best-cafes-in-anjuna-goa-2026-offbeat-and-work-friendly-spots/" TargetMode="External"/><Relationship Id="rId127" Type="http://schemas.openxmlformats.org/officeDocument/2006/relationships/hyperlink" Target="https://www.tripadvisor.in/Restaurants-g12412672-c8-South_Goa_District_Goa.html" TargetMode="External"/><Relationship Id="rId128" Type="http://schemas.openxmlformats.org/officeDocument/2006/relationships/hyperlink" Target="https://www.instagram.com/rubyscoffee_goa/" TargetMode="External"/><Relationship Id="rId129" Type="http://schemas.openxmlformats.org/officeDocument/2006/relationships/hyperlink" Target="https://www.tripadvisor.in/Restaurants-g12412672-zfg9900-South_Goa_District_Goa.html" TargetMode="External"/><Relationship Id="rId130" Type="http://schemas.openxmlformats.org/officeDocument/2006/relationships/hyperlink" Target="https://www.district.in/blog/speciality-coffee-cafes-goa" TargetMode="External"/><Relationship Id="rId131" Type="http://schemas.openxmlformats.org/officeDocument/2006/relationships/hyperlink" Target="https://www.eazydiner.com/goa/asro-cafe-food-lab-porvorim-north-goa-694932/reviews" TargetMode="External"/><Relationship Id="rId132" Type="http://schemas.openxmlformats.org/officeDocument/2006/relationships/hyperlink" Target="https://www.instagram.com/rubyscoffee_goa/" TargetMode="External"/><Relationship Id="rId133" Type="http://schemas.openxmlformats.org/officeDocument/2006/relationships/hyperlink" Target="https://www.eazydiner.com/goa/cafe-robusta-porvorim-porvorim-north-goa-691965" TargetMode="External"/><Relationship Id="rId134" Type="http://schemas.openxmlformats.org/officeDocument/2006/relationships/hyperlink" Target="https://www.eazydiner.com/goa/joeys-porvorim-north-goa-696527" TargetMode="External"/><Relationship Id="rId135" Type="http://schemas.openxmlformats.org/officeDocument/2006/relationships/hyperlink" Target="https://yourstory.com/ys-life/the-second-house-goa-lento-cafe" TargetMode="External"/><Relationship Id="rId136" Type="http://schemas.openxmlformats.org/officeDocument/2006/relationships/hyperlink" Target="https://baristamagazine.com/exploring-the-vibrant-specialty-coffee-culture-of-goa-india" TargetMode="External"/><Relationship Id="rId137" Type="http://schemas.openxmlformats.org/officeDocument/2006/relationships/hyperlink" Target="https://rokazu.com/coffee-shops-in-bhopal-india/" TargetMode="External"/><Relationship Id="rId138" Type="http://schemas.openxmlformats.org/officeDocument/2006/relationships/hyperlink" Target="https://www.instagram.com/coffeio.in/" TargetMode="External"/><Relationship Id="rId139" Type="http://schemas.openxmlformats.org/officeDocument/2006/relationships/hyperlink" Target="https://bhopaltop10.vercel.app/bhopal/cafes/" TargetMode="External"/><Relationship Id="rId140" Type="http://schemas.openxmlformats.org/officeDocument/2006/relationships/hyperlink" Target="https://www.dripcospecialitycoffeebrewers.com/blog" TargetMode="External"/><Relationship Id="rId141" Type="http://schemas.openxmlformats.org/officeDocument/2006/relationships/hyperlink" Target="https://www.instagram.com/cavacafee/" TargetMode="External"/><Relationship Id="rId142" Type="http://schemas.openxmlformats.org/officeDocument/2006/relationships/hyperlink" Target="https://www.instagram.com/absolutecoffeebrewers/" TargetMode="External"/><Relationship Id="rId143" Type="http://schemas.openxmlformats.org/officeDocument/2006/relationships/hyperlink" Target="https://www.instagram.com/beansnbunjaipur/" TargetMode="External"/><Relationship Id="rId144" Type="http://schemas.openxmlformats.org/officeDocument/2006/relationships/hyperlink" Target="https://www.instagram.com/thelittlecoffeeshopjaipur/" TargetMode="External"/><Relationship Id="rId145" Type="http://schemas.openxmlformats.org/officeDocument/2006/relationships/hyperlink" Target="https://www.instagram.com/cafeearnest/" TargetMode="External"/><Relationship Id="rId146" Type="http://schemas.openxmlformats.org/officeDocument/2006/relationships/hyperlink" Target="https://www.instagram.com/towncoffeejaipur/" TargetMode="External"/><Relationship Id="rId147" Type="http://schemas.openxmlformats.org/officeDocument/2006/relationships/hyperlink" Target="https://explorejodhpur.com/best-coffee-spots-in-jodhpur/" TargetMode="External"/><Relationship Id="rId148" Type="http://schemas.openxmlformats.org/officeDocument/2006/relationships/hyperlink" Target="https://www.shoppingbazar.in/specialty-coffee-udaipur-third-wave-cafes/" TargetMode="External"/><Relationship Id="rId149" Type="http://schemas.openxmlformats.org/officeDocument/2006/relationships/hyperlink" Target="https://www.instagram.com/coffeegramdelhi/" TargetMode="External"/><Relationship Id="rId150" Type="http://schemas.openxmlformats.org/officeDocument/2006/relationships/hyperlink" Target="https://www.timeout.com/delhi/restaurants/the-best-coffee-shops-in-delhi" TargetMode="External"/><Relationship Id="rId151" Type="http://schemas.openxmlformats.org/officeDocument/2006/relationships/hyperlink" Target="https://brewatlas.co/delhi/cafes" TargetMode="External"/><Relationship Id="rId152" Type="http://schemas.openxmlformats.org/officeDocument/2006/relationships/hyperlink" Target="https://www.corner.inc/place/p7HpPpxdEgHr?listId=4337c3ac-f3b8-49aa-8482-a6b94a6b2110" TargetMode="External"/><Relationship Id="rId153" Type="http://schemas.openxmlformats.org/officeDocument/2006/relationships/hyperlink" Target="https://brewatlas.co/delhi/cafes" TargetMode="External"/><Relationship Id="rId154" Type="http://schemas.openxmlformats.org/officeDocument/2006/relationships/hyperlink" Target="https://brewatlas.co/delhi/cafes/food" TargetMode="External"/><Relationship Id="rId155" Type="http://schemas.openxmlformats.org/officeDocument/2006/relationships/hyperlink" Target="https://www.tribuneindia.com/news/business/sip-the-new-trend-5-must-visit-premium-coffee-cafes-in-delhi-ncr-2026/" TargetMode="External"/><Relationship Id="rId156" Type="http://schemas.openxmlformats.org/officeDocument/2006/relationships/hyperlink" Target="https://wanderhoods.com/best-cafes-in-faridabad-5-must-visit-coffee-spots/" TargetMode="External"/><Relationship Id="rId157" Type="http://schemas.openxmlformats.org/officeDocument/2006/relationships/hyperlink" Target="https://www.instagram.com/1000percentcoffee/" TargetMode="External"/><Relationship Id="rId158" Type="http://schemas.openxmlformats.org/officeDocument/2006/relationships/hyperlink" Target="https://www.instagram.com/figatmgroad/" TargetMode="External"/><Relationship Id="rId159" Type="http://schemas.openxmlformats.org/officeDocument/2006/relationships/hyperlink" Target="https://www.district.in/blog/specialty-coffee-cafes-chandigarh" TargetMode="External"/><Relationship Id="rId160" Type="http://schemas.openxmlformats.org/officeDocument/2006/relationships/hyperlink" Target="https://wanderon.in/blogs/best-cafes-in-kanpur" TargetMode="External"/><Relationship Id="rId161" Type="http://schemas.openxmlformats.org/officeDocument/2006/relationships/hyperlink" Target="https://sidewalkindia.com/" TargetMode="External"/><Relationship Id="rId162" Type="http://schemas.openxmlformats.org/officeDocument/2006/relationships/hyperlink" Target="https://overflowcoffee.in/" TargetMode="External"/><Relationship Id="rId163" Type="http://schemas.openxmlformats.org/officeDocument/2006/relationships/hyperlink" Target="https://www.knocksense.com/lucknow/ditch-the-old-cafes-lucknows-newest-chacoco-is-brewing-something-specialheres-why-youll-love-it/" TargetMode="External"/><Relationship Id="rId164" Type="http://schemas.openxmlformats.org/officeDocument/2006/relationships/hyperlink" Target="https://www.instagram.com/philtrecoindia/" TargetMode="External"/><Relationship Id="rId165" Type="http://schemas.openxmlformats.org/officeDocument/2006/relationships/hyperlink" Target="https://www.instagram.com/baske.lucknow/" TargetMode="External"/><Relationship Id="rId166" Type="http://schemas.openxmlformats.org/officeDocument/2006/relationships/hyperlink" Target="https://www.district.in/blog/specialty-coffee-noida" TargetMode="External"/><Relationship Id="rId167" Type="http://schemas.openxmlformats.org/officeDocument/2006/relationships/hyperlink" Target="https://www.district.in/blog/specialty-coffee-noida" TargetMode="External"/><Relationship Id="rId168" Type="http://schemas.openxmlformats.org/officeDocument/2006/relationships/hyperlink" Target="https://www.instagram.com/thehavennoida/" TargetMode="External"/><Relationship Id="rId169" Type="http://schemas.openxmlformats.org/officeDocument/2006/relationships/hyperlink" Target="https://www.pinaak.co/discover/varanasi-cafes-restaurants" TargetMode="External"/><Relationship Id="rId170" Type="http://schemas.openxmlformats.org/officeDocument/2006/relationships/hyperlink" Target="https://www.instagram.com/greko.espresso/" TargetMode="External"/><Relationship Id="rId171" Type="http://schemas.openxmlformats.org/officeDocument/2006/relationships/hyperlink" Target="https://www.instagram.com/wht.blk.coffeehouse/" TargetMode="External"/><Relationship Id="rId172" Type="http://schemas.openxmlformats.org/officeDocument/2006/relationships/hyperlink" Target="https://restaurant-guru.in/cafe-Ludhiana-t6" TargetMode="External"/><Relationship Id="rId173" Type="http://schemas.openxmlformats.org/officeDocument/2006/relationships/hyperlink" Target="https://www.dinediary.in/2026/03/best-cafes-in-ludhiana.html?m=1" TargetMode="External"/><Relationship Id="rId174" Type="http://schemas.openxmlformats.org/officeDocument/2006/relationships/hyperlink" Target="https://www.explurger.com/pd/p5kv9l6q6vjy8n2cx" TargetMode="External"/><Relationship Id="rId175" Type="http://schemas.openxmlformats.org/officeDocument/2006/relationships/hyperlink" Target="https://www.dinediary.in/2026/03/best-cafes-in-ludhiana.html?m=1" TargetMode="External"/><Relationship Id="rId176" Type="http://schemas.openxmlformats.org/officeDocument/2006/relationships/hyperlink" Target="https://www.district.in/dining/chandigarh/pull-and-pour-speciality-coffee-sector-67-mohali" TargetMode="External"/><Relationship Id="rId177" Type="http://schemas.openxmlformats.org/officeDocument/2006/relationships/hyperlink" Target="https://refuje.com/blog/best-cafes-himachal-pradesh-every-town" TargetMode="External"/><Relationship Id="rId178" Type="http://schemas.openxmlformats.org/officeDocument/2006/relationships/hyperlink" Target="https://himlocal.com/blog/cafes-in-manali" TargetMode="External"/><Relationship Id="rId179" Type="http://schemas.openxmlformats.org/officeDocument/2006/relationships/hyperlink" Target="https://dharamshalaguide.com/cafes-in-mcleodganj/" TargetMode="External"/><Relationship Id="rId180" Type="http://schemas.openxmlformats.org/officeDocument/2006/relationships/hyperlink" Target="https://aristella.in/cafe-in-mussoorie-road-dehradun" TargetMode="External"/><Relationship Id="rId181" Type="http://schemas.openxmlformats.org/officeDocument/2006/relationships/hyperlink" Target="https://www.baliyogaschool.com/10-best-cafes-in-rishikesh-for-food-vibe-and-best-working-space/" TargetMode="External"/><Relationship Id="rId182" Type="http://schemas.openxmlformats.org/officeDocument/2006/relationships/hyperlink" Target="https://wanderlog.com/list/geoCategory/291116" TargetMode="External"/><Relationship Id="rId183" Type="http://schemas.openxmlformats.org/officeDocument/2006/relationships/hyperlink" Target="https://t2online.in/goodlife/food-beverage/t2-gets-you-the-first-look-of-kulture-specialty-coffee-bistro-the-new-dine-den-in-town/1462233" TargetMode="External"/><Relationship Id="rId184" Type="http://schemas.openxmlformats.org/officeDocument/2006/relationships/hyperlink" Target="https://www.artsyinkolkata.com/" TargetMode="External"/><Relationship Id="rId185" Type="http://schemas.openxmlformats.org/officeDocument/2006/relationships/hyperlink" Target="https://www.instagram.com/colabcoffeecalcutta/" TargetMode="External"/><Relationship Id="rId186" Type="http://schemas.openxmlformats.org/officeDocument/2006/relationships/hyperlink" Target="https://www.instagram.com/cafecaptainamericano/" TargetMode="External"/><Relationship Id="rId187" Type="http://schemas.openxmlformats.org/officeDocument/2006/relationships/hyperlink" Target="https://www.instagram.com/amaricoffeenewtown/" TargetMode="External"/><Relationship Id="rId188" Type="http://schemas.openxmlformats.org/officeDocument/2006/relationships/hyperlink" Target="https://www.cosmopolitan.in/life/features/story/forget-your-usual-cappuccino-these-are-the-coffee-orders-worth-switching-things-up-for-1436793-2026-08-13" TargetMode="External"/><Relationship Id="rId189" Type="http://schemas.openxmlformats.org/officeDocument/2006/relationships/hyperlink" Target="https://www.instagram.com/lineupcoffee_newtown/" TargetMode="External"/><Relationship Id="rId190" Type="http://schemas.openxmlformats.org/officeDocument/2006/relationships/hyperlink" Target="https://yappe.in/assam/guwahati/coffee-shop" TargetMode="External"/><Relationship Id="rId191" Type="http://schemas.openxmlformats.org/officeDocument/2006/relationships/hyperlink" Target="https://yappe.in/assam/guwahati/coffee-shop" TargetMode="External"/><Relationship Id="rId192" Type="http://schemas.openxmlformats.org/officeDocument/2006/relationships/hyperlink" Target="https://eastmojo.com/lifestyle/2020/08/31/black-art-coffee-in-guwahati-celebrating-art-one-cup-at-a-time/" TargetMode="External"/><Relationship Id="rId193" Type="http://schemas.openxmlformats.org/officeDocument/2006/relationships/hyperlink" Target="https://curlytales.com/rajkummar-rao-spotted-at-a-cosy-shillong-cafe-its-specialty-coffee-is-worth-a-trip-to-meghalaya/" TargetMode="External"/><Relationship Id="rId194" Type="http://schemas.openxmlformats.org/officeDocument/2006/relationships/hyperlink" Target="https://xtsy.one/cafes-in-shillong" TargetMode="External"/><Relationship Id="rId195" Type="http://schemas.openxmlformats.org/officeDocument/2006/relationships/hyperlink" Target="https://www.instagram.com/bisaunigangtok/" TargetMode="External"/><Relationship Id="rId196" Type="http://schemas.openxmlformats.org/officeDocument/2006/relationships/hyperlink" Target="https://travelsetu.com/apps/blog/coffee-culture-in-gangtok-best-cafes-to-visit" TargetMode="External"/><Relationship Id="rId197" Type="http://schemas.openxmlformats.org/officeDocument/2006/relationships/hyperlink" Target="https://oddessemania.in/best-cafes-in-aizawl/" TargetMode="External"/><Relationship Id="rId198"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www.instagram.com/mazicoffee/" TargetMode="External"/><Relationship Id="rId2" Type="http://schemas.openxmlformats.org/officeDocument/2006/relationships/hyperlink" Target="https://sidewalkindia.com/" TargetMode="External"/><Relationship Id="rId3" Type="http://schemas.openxmlformats.org/officeDocument/2006/relationships/hyperlink" Target="https://overflowcoffee.in/" TargetMode="External"/><Relationship Id="rId4" Type="http://schemas.openxmlformats.org/officeDocument/2006/relationships/hyperlink" Target="https://www.instagram.com/_coffeeyard_/" TargetMode="External"/><Relationship Id="rId5" Type="http://schemas.openxmlformats.org/officeDocument/2006/relationships/hyperlink" Target="https://www.instagram.com/cafemeraki.prayagraj/" TargetMode="External"/><Relationship Id="rId6" Type="http://schemas.openxmlformats.org/officeDocument/2006/relationships/hyperlink" Target="https://theappbarista.com/blog/best-cafes-ahmedabad" TargetMode="External"/><Relationship Id="rId7" Type="http://schemas.openxmlformats.org/officeDocument/2006/relationships/hyperlink" Target="https://www.artsyinkolkata.com/" TargetMode="External"/><Relationship Id="rId8" Type="http://schemas.openxmlformats.org/officeDocument/2006/relationships/hyperlink" Target="https://www.district.in/blog/speciality-coffee-cafes-goa" TargetMode="External"/><Relationship Id="rId9" Type="http://schemas.openxmlformats.org/officeDocument/2006/relationships/hyperlink" Target="https://thenodmag.com/content/new-restaurants-bars-menus-delhi-may-2026" TargetMode="External"/><Relationship Id="rId10" Type="http://schemas.openxmlformats.org/officeDocument/2006/relationships/hyperlink" Target="https://www.district.in/blog/speciality-coffee-spots-mumbai" TargetMode="External"/><Relationship Id="rId11" Type="http://schemas.openxmlformats.org/officeDocument/2006/relationships/hyperlink" Target="https://www.nagpurtoday.in/best-cafes-in-nagpur-2026-our-independent-ranking-based-on-reviews-coffee-quality-ambience-customer-experience/" TargetMode="External"/><Relationship Id="rId12" Type="http://schemas.openxmlformats.org/officeDocument/2006/relationships/hyperlink" Target="https://www.restaurantindia.in/news/notfar-opens-in-bandra-with-specialty-cookies-cupcakes-and-coffee.n16686" TargetMode="External"/><Relationship Id="rId13" Type="http://schemas.openxmlformats.org/officeDocument/2006/relationships/hyperlink" Target="https://www.district.in/blog/speciality-coffee-cafes-goa" TargetMode="External"/><Relationship Id="rId14" Type="http://schemas.openxmlformats.org/officeDocument/2006/relationships/hyperlink" Target="https://www.outlooktraveller.com/ot-pours/drop-in-at-the-drop-and-find-your-jaws-dropped" TargetMode="External"/><Relationship Id="rId15" Type="http://schemas.openxmlformats.org/officeDocument/2006/relationships/hyperlink" Target="https://www.instagram.com/babka.goa/" TargetMode="External"/><Relationship Id="rId16" Type="http://schemas.openxmlformats.org/officeDocument/2006/relationships/hyperlink" Target="https://knocksense.com/ahmedabad/coffee-chronicles-mleko-cafes-enchanting-presence-in-ahmedabad-is-winning-over-hearts" TargetMode="External"/><Relationship Id="rId17" Type="http://schemas.openxmlformats.org/officeDocument/2006/relationships/hyperlink" Target="https://www.instagram.com/pilgrimcoffee.in/" TargetMode="External"/><Relationship Id="rId18" Type="http://schemas.openxmlformats.org/officeDocument/2006/relationships/hyperlink" Target="https://www.instagram.com/mainline.coffee/" TargetMode="External"/><Relationship Id="rId19" Type="http://schemas.openxmlformats.org/officeDocument/2006/relationships/hyperlink" Target="https://www.instagram.com/specialtycoffeehouseindia/" TargetMode="External"/><Relationship Id="rId20" Type="http://schemas.openxmlformats.org/officeDocument/2006/relationships/hyperlink" Target="https://rokazu.com/coffee-shops-in-bhopal-india/" TargetMode="External"/><Relationship Id="rId21" Type="http://schemas.openxmlformats.org/officeDocument/2006/relationships/hyperlink" Target="https://curlytales.com/punes-bustling-cafe-culture-gets-a-new-chic-coffee-place-one-world-the-coffee-studio/amp/" TargetMode="External"/><Relationship Id="rId22" Type="http://schemas.openxmlformats.org/officeDocument/2006/relationships/hyperlink" Target="https://eastmojo.com/lifestyle/2020/08/31/black-art-coffee-in-guwahati-celebrating-art-one-cup-at-a-time/" TargetMode="External"/><Relationship Id="rId23" Type="http://schemas.openxmlformats.org/officeDocument/2006/relationships/hyperlink" Target="https://www.restaurantindia.in/news/vanilla-miel-opens-second-mumbai-caf-at-lodha-signet-lower-parel.n17346" TargetMode="External"/><Relationship Id="rId24" Type="http://schemas.openxmlformats.org/officeDocument/2006/relationships/hyperlink" Target="https://baristamagazine.com/exploring-the-vibrant-specialty-coffee-culture-of-goa-india" TargetMode="External"/><Relationship Id="rId25" Type="http://schemas.openxmlformats.org/officeDocument/2006/relationships/hyperlink" Target="https://rokazu.com/coffee-shops-in-nagpur-india/" TargetMode="External"/><Relationship Id="rId26" Type="http://schemas.openxmlformats.org/officeDocument/2006/relationships/hyperlink" Target="https://www.instagram.com/colabcoffeecalcutta/" TargetMode="External"/><Relationship Id="rId27" Type="http://schemas.openxmlformats.org/officeDocument/2006/relationships/hyperlink" Target="https://perfectdailygrind.com/2019/03/a-specialty-coffee-shop-tour-of-gujarat-rajasthan/" TargetMode="External"/><Relationship Id="rId28" Type="http://schemas.openxmlformats.org/officeDocument/2006/relationships/hyperlink" Target="https://t2online.in/goodlife/food-beverage/8th-day-caf----bakery-brews-big-in-new-town-with-its-fifth-kolkata-outlet/2003182" TargetMode="External"/><Relationship Id="rId29" Type="http://schemas.openxmlformats.org/officeDocument/2006/relationships/hyperlink" Target="https://www.timeout.com/mumbai/news/boojee-cafe-is-opening-a-new-outlet-at-one-bkc-in-mumbai-082026" TargetMode="External"/><Relationship Id="rId30" Type="http://schemas.openxmlformats.org/officeDocument/2006/relationships/hyperlink" Target="https://www.restaurantindia.in/news/restaurant-india-news-coffee-culture-enters-hospitality-with-unseen-world-s-first-coffee-focused.n14245" TargetMode="External"/><Relationship Id="rId31" Type="http://schemas.openxmlformats.org/officeDocument/2006/relationships/hyperlink" Target="https://wanderlog.com/place/details/10602229/the-highbrooks-cafe" TargetMode="External"/><Relationship Id="rId32" Type="http://schemas.openxmlformats.org/officeDocument/2006/relationships/hyperlink" Target="https://brewatlas.co/delhi/cafes/food" TargetMode="External"/><Relationship Id="rId33" Type="http://schemas.openxmlformats.org/officeDocument/2006/relationships/hyperlink" Target="https://curlytales.com/india/food/cafe-hoppers-rejoice-gujarats-biggest-cafe-komo-by-kaffa-opens-in-ahmedabad/" TargetMode="External"/><Relationship Id="rId34" Type="http://schemas.openxmlformats.org/officeDocument/2006/relationships/hyperlink" Target="https://www.district.in/blog/specialty-coffee-jaipur" TargetMode="External"/><Relationship Id="rId35" Type="http://schemas.openxmlformats.org/officeDocument/2006/relationships/hyperlink" Target="https://www.picokolkata.com/" TargetMode="External"/><Relationship Id="rId36" Type="http://schemas.openxmlformats.org/officeDocument/2006/relationships/hyperlink" Target="https://t2online.in/goodlife/food-beverage/whizz-coffee-from-craft-coffee-box-is-brewing-a-new-sip-culture-where-artisanal-cups-meet-affordable-prices/2008421" TargetMode="External"/><Relationship Id="rId37" Type="http://schemas.openxmlformats.org/officeDocument/2006/relationships/hyperlink" Target="https://www.timeout.com/mumbai/news/angry-toast-bandras-new-sandwich-shop-has-its-own-coffee-roastery-071626" TargetMode="External"/><Relationship Id="rId38" Type="http://schemas.openxmlformats.org/officeDocument/2006/relationships/hyperlink" Target="https://farzicafedehradun.com/best-cafe-in-dehradun.html" TargetMode="External"/><Relationship Id="rId39" Type="http://schemas.openxmlformats.org/officeDocument/2006/relationships/hyperlink" Target="https://www.restaurantindia.in/news/thought-coffee-opens-bandra-flagship-as-mumbai-quick-service-coffee-market-expands.n17296" TargetMode="External"/><Relationship Id="rId40" Type="http://schemas.openxmlformats.org/officeDocument/2006/relationships/hyperlink" Target="https://restaurant-guru.in/cafe-Bhubaneswar-t6" TargetMode="External"/><Relationship Id="rId41" Type="http://schemas.openxmlformats.org/officeDocument/2006/relationships/hyperlink" Target="https://www.knocksense.com/lucknow/ditch-the-old-cafes-lucknows-newest-chacoco-is-brewing-something-specialheres-why-youll-love-it/" TargetMode="External"/><Relationship Id="rId42" Type="http://schemas.openxmlformats.org/officeDocument/2006/relationships/hyperlink" Target="https://www.instagram.com/rubyscoffee_goa/" TargetMode="External"/><Relationship Id="rId43" Type="http://schemas.openxmlformats.org/officeDocument/2006/relationships/hyperlink" Target="https://www.instagram.com/rubyscoffee_goa/" TargetMode="External"/><Relationship Id="rId44" Type="http://schemas.openxmlformats.org/officeDocument/2006/relationships/hyperlink" Target="https://yourstory.com/ys-life/the-second-house-goa-lento-cafe" TargetMode="External"/><Relationship Id="rId45" Type="http://schemas.openxmlformats.org/officeDocument/2006/relationships/hyperlink" Target="https://yourstory.com/ys-life/the-second-house-goa-lento-cafe" TargetMode="External"/><Relationship Id="rId46" Type="http://schemas.openxmlformats.org/officeDocument/2006/relationships/hyperlink" Target="https://foodiesofindia.wordpress.com/tag/new-restaurants-in-mumbai/" TargetMode="External"/><Relationship Id="rId47" Type="http://schemas.openxmlformats.org/officeDocument/2006/relationships/hyperlink" Target="https://theappbarista.com/blog/best-cafes-ahmedabad" TargetMode="External"/><Relationship Id="rId48" Type="http://schemas.openxmlformats.org/officeDocument/2006/relationships/hyperlink" Target="https://www.restaurantindia.in/news/novotel-goa-candolim-unveils-the-little-place-cafe.n12067" TargetMode="External"/><Relationship Id="rId49" Type="http://schemas.openxmlformats.org/officeDocument/2006/relationships/hyperlink" Target="https://www.knocksense.com/ahmedabad/9-new-restaurants-in-ahmedabad-bringing-fresh-flavours-to-the-table" TargetMode="External"/><Relationship Id="rId50" Type="http://schemas.openxmlformats.org/officeDocument/2006/relationships/hyperlink" Target="https://indianretailer.com/news/stand-coffee-expands-mumbai-footprint-new-juhu-outlet" TargetMode="External"/><Relationship Id="rId5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ww.artsyinkolkata.com/" TargetMode="External"/><Relationship Id="rId2" Type="http://schemas.openxmlformats.org/officeDocument/2006/relationships/hyperlink" Target="https://rootsandleisure.com/artsy-cafe-kolkata/" TargetMode="External"/><Relationship Id="rId3" Type="http://schemas.openxmlformats.org/officeDocument/2006/relationships/hyperlink" Target="https://www.artsyinkolkata.com/" TargetMode="External"/><Relationship Id="rId4" Type="http://schemas.openxmlformats.org/officeDocument/2006/relationships/hyperlink" Target="https://rootsandleisure.com/artsy-cafe-kolkata/" TargetMode="External"/><Relationship Id="rId5" Type="http://schemas.openxmlformats.org/officeDocument/2006/relationships/hyperlink" Target="https://homegrown.co.in/homegrown-explore/beyond-open-mics-dj-sets-cafs-across-india-are-building-music-centric-communities" TargetMode="External"/><Relationship Id="rId6" Type="http://schemas.openxmlformats.org/officeDocument/2006/relationships/hyperlink" Target="https://curlytales.com/india/food/mumbaikars-boojee-cafe-is-coming-to-bkc-with-its-signature-brews-bites/" TargetMode="External"/><Relationship Id="rId7" Type="http://schemas.openxmlformats.org/officeDocument/2006/relationships/hyperlink" Target="https://curlytales.com/every-coffee-lover-must-head-to-bouffage-cafe-in-nagpur" TargetMode="External"/><Relationship Id="rId8" Type="http://schemas.openxmlformats.org/officeDocument/2006/relationships/hyperlink" Target="https://www.district.in/nandan-coffee-takeover-at-genre-delhi-art-weekend-oct5-2025/event" TargetMode="External"/><Relationship Id="rId9" Type="http://schemas.openxmlformats.org/officeDocument/2006/relationships/hyperlink" Target="https://homegrown.co.in/homegrown-explore/listening-sessions-coffee-cocktails-how-goan-coffee-bars-are-blazing-a-trail" TargetMode="External"/><Relationship Id="rId10" Type="http://schemas.openxmlformats.org/officeDocument/2006/relationships/hyperlink" Target="https://www.baristamagazine.com/exploring-the-vibrant-specialty-coffee-culture-of-goa-india/" TargetMode="External"/><Relationship Id="rId11" Type="http://schemas.openxmlformats.org/officeDocument/2006/relationships/hyperlink" Target="https://curlytales.com/india/food/cafe-hoppers-rejoice-gujarats-biggest-cafe-komo-by-kaffa-opens-in-ahmedabad/" TargetMode="External"/><Relationship Id="rId12" Type="http://schemas.openxmlformats.org/officeDocument/2006/relationships/hyperlink" Target="https://perfectdailygrind.com/2019/03/a-specialty-coffee-shop-tour-of-gujarat-rajasthan/" TargetMode="External"/><Relationship Id="rId13" Type="http://schemas.openxmlformats.org/officeDocument/2006/relationships/hyperlink" Target="https://knocksense.com/ahmedabad/coffee-chronicles-mleko-cafes-enchanting-presence-in-ahmedabad-is-winning-over-hearts" TargetMode="External"/><Relationship Id="rId14" Type="http://schemas.openxmlformats.org/officeDocument/2006/relationships/hyperlink" Target="https://echai.ventures/ahmedabad/cafes/sg-highway-west" TargetMode="External"/><Relationship Id="rId15" Type="http://schemas.openxmlformats.org/officeDocument/2006/relationships/hyperlink" Target="https://www.pinaak.co/discover/varanasi-cafes-restaurants" TargetMode="External"/><Relationship Id="rId16" Type="http://schemas.openxmlformats.org/officeDocument/2006/relationships/hyperlink" Target="https://www.district.in/dining/ahmedabad/the-dark-roast-prahlad-nagar" TargetMode="External"/><Relationship Id="rId17" Type="http://schemas.openxmlformats.org/officeDocument/2006/relationships/hyperlink" Target="https://thenodmag.com/content/the-drop-hauz-khas-delhi-indian-specialty-coffee-roastery-review" TargetMode="External"/><Relationship Id="rId18" Type="http://schemas.openxmlformats.org/officeDocument/2006/relationships/hyperlink" Target="https://www.restaurantindia.in/news/novotel-goa-candolim-unveils-the-little-place-cafe.n12067" TargetMode="External"/><Relationship Id="rId19"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ww.thewaytocoffee.com/roasters/bombay-island-coffee-company" TargetMode="External"/><Relationship Id="rId2" Type="http://schemas.openxmlformats.org/officeDocument/2006/relationships/hyperlink" Target="https://sprudge.com/the-sprudge-coffee-guide-to-mumbai-150364.html" TargetMode="External"/><Relationship Id="rId3" Type="http://schemas.openxmlformats.org/officeDocument/2006/relationships/hyperlink" Target="https://www.timeout.com/mumbai/news/boojee-cafe-is-opening-a-new-outlet-at-one-bkc-in-mumbai-082026" TargetMode="External"/><Relationship Id="rId4" Type="http://schemas.openxmlformats.org/officeDocument/2006/relationships/hyperlink" Target="https://www.indiancoffeebeans.com/roasters" TargetMode="External"/><Relationship Id="rId5" Type="http://schemas.openxmlformats.org/officeDocument/2006/relationships/hyperlink" Target="https://www.localspecialtycoffee.com/cities/specialty-coffee-mumbai/in-house-roasting" TargetMode="External"/><Relationship Id="rId6" Type="http://schemas.openxmlformats.org/officeDocument/2006/relationships/hyperlink" Target="https://in.linkedin.com/company/kc-roasters" TargetMode="External"/><Relationship Id="rId7" Type="http://schemas.openxmlformats.org/officeDocument/2006/relationships/hyperlink" Target="https://oteats.outlooktraveller.com/features/heres-where-to-find-the-best-artisanal-coffee-in-mumbai" TargetMode="External"/><Relationship Id="rId8" Type="http://schemas.openxmlformats.org/officeDocument/2006/relationships/hyperlink" Target="https://www.afaqs.com/news/brands/radhika-seth-and-meghna-kaur-launch-coffee-brand-naked-9480876" TargetMode="External"/><Relationship Id="rId9" Type="http://schemas.openxmlformats.org/officeDocument/2006/relationships/hyperlink" Target="https://www.worldcoffeeportal.com/news/nandan-coffee-steps-up-competition-in-indias-specialty-coffee-segment/" TargetMode="External"/><Relationship Id="rId10" Type="http://schemas.openxmlformats.org/officeDocument/2006/relationships/hyperlink" Target="https://www.restaurantindia.in/news/silk-road-coffee-company-opens-3500-sq-ft-roastery-and-bakehouse-in-versova.n17287" TargetMode="External"/><Relationship Id="rId11" Type="http://schemas.openxmlformats.org/officeDocument/2006/relationships/hyperlink" Target="https://www.instagram.com/subkocoffee/" TargetMode="External"/><Relationship Id="rId12" Type="http://schemas.openxmlformats.org/officeDocument/2006/relationships/hyperlink" Target="https://www.subko.coffee/" TargetMode="External"/><Relationship Id="rId13" Type="http://schemas.openxmlformats.org/officeDocument/2006/relationships/hyperlink" Target="https://in.linkedin.com/company/subkocoffee" TargetMode="External"/><Relationship Id="rId14" Type="http://schemas.openxmlformats.org/officeDocument/2006/relationships/hyperlink" Target="https://www.instagram.com/subkocoffee/" TargetMode="External"/><Relationship Id="rId15" Type="http://schemas.openxmlformats.org/officeDocument/2006/relationships/hyperlink" Target="https://www.linkedin.com/company/toffeecoffeeroasters" TargetMode="External"/><Relationship Id="rId16" Type="http://schemas.openxmlformats.org/officeDocument/2006/relationships/hyperlink" Target="https://www.linkedin.com/company/toffeecoffeeroasters" TargetMode="External"/><Relationship Id="rId17" Type="http://schemas.openxmlformats.org/officeDocument/2006/relationships/hyperlink" Target="https://www.eazydiner.com/mumbai/toise-coffee-roastery-worli-south-mumbai-702423/reviews" TargetMode="External"/><Relationship Id="rId18" Type="http://schemas.openxmlformats.org/officeDocument/2006/relationships/hyperlink" Target="https://www.indiancoffeebeans.com/roasters" TargetMode="External"/><Relationship Id="rId19" Type="http://schemas.openxmlformats.org/officeDocument/2006/relationships/hyperlink" Target="https://www.freepressjournal.in/lifestyle/food-review-mazi-coffee-bar-and-kitchen-mumbai-offers-inventive-coffee-creations-and-delectable-dishes" TargetMode="External"/><Relationship Id="rId20" Type="http://schemas.openxmlformats.org/officeDocument/2006/relationships/hyperlink" Target="https://www.instagram.com/coffeebrim/" TargetMode="External"/><Relationship Id="rId21" Type="http://schemas.openxmlformats.org/officeDocument/2006/relationships/hyperlink" Target="https://corridorseven.coffee/" TargetMode="External"/><Relationship Id="rId22" Type="http://schemas.openxmlformats.org/officeDocument/2006/relationships/hyperlink" Target="https://www.justdial.com/Nagpur/Coffee-Shops-in-Civil-Lines/nct-10104727" TargetMode="External"/><Relationship Id="rId23" Type="http://schemas.openxmlformats.org/officeDocument/2006/relationships/hyperlink" Target="https://www.instagram.com/pareracoffee/" TargetMode="External"/><Relationship Id="rId24" Type="http://schemas.openxmlformats.org/officeDocument/2006/relationships/hyperlink" Target="https://www.instagram.com/pareracoffee/" TargetMode="External"/><Relationship Id="rId25" Type="http://schemas.openxmlformats.org/officeDocument/2006/relationships/hyperlink" Target="https://www.instagram.com/antidotecoffeeroasters/" TargetMode="External"/><Relationship Id="rId26" Type="http://schemas.openxmlformats.org/officeDocument/2006/relationships/hyperlink" Target="https://www.instagram.com/antidotecoffeeroasters/" TargetMode="External"/><Relationship Id="rId27" Type="http://schemas.openxmlformats.org/officeDocument/2006/relationships/hyperlink" Target="https://www.indiancoffeebeans.com/roasters" TargetMode="External"/><Relationship Id="rId28" Type="http://schemas.openxmlformats.org/officeDocument/2006/relationships/hyperlink" Target="https://729gramscoffee.com/" TargetMode="External"/><Relationship Id="rId29" Type="http://schemas.openxmlformats.org/officeDocument/2006/relationships/hyperlink" Target="https://jobs.weekday.works/sr-barista-at-729-grams-coffee-roasters-wkdywty1k0" TargetMode="External"/><Relationship Id="rId30" Type="http://schemas.openxmlformats.org/officeDocument/2006/relationships/hyperlink" Target="https://greysoul.coffee/" TargetMode="External"/><Relationship Id="rId31" Type="http://schemas.openxmlformats.org/officeDocument/2006/relationships/hyperlink" Target="https://greysoul.coffee/pages/our-cafe" TargetMode="External"/><Relationship Id="rId32" Type="http://schemas.openxmlformats.org/officeDocument/2006/relationships/hyperlink" Target="https://www.indianretailer.com/news/coffeeverse-launches-e-commerce-platform-bring-premium-specialty-coffee-across-india" TargetMode="External"/><Relationship Id="rId33" Type="http://schemas.openxmlformats.org/officeDocument/2006/relationships/hyperlink" Target="https://www.indiancoffeeguide.com/locations" TargetMode="External"/><Relationship Id="rId34" Type="http://schemas.openxmlformats.org/officeDocument/2006/relationships/hyperlink" Target="https://www.indianretailer.com/news/coffeeverse-launches-e-commerce-platform-bring-premium-specialty-coffee-across-india" TargetMode="External"/><Relationship Id="rId35" Type="http://schemas.openxmlformats.org/officeDocument/2006/relationships/hyperlink" Target="https://www.instagram.com/roastery.cultur/" TargetMode="External"/><Relationship Id="rId36" Type="http://schemas.openxmlformats.org/officeDocument/2006/relationships/hyperlink" Target="https://theappbarista.com/blog/best-cafes-ahmedabad" TargetMode="External"/><Relationship Id="rId37" Type="http://schemas.openxmlformats.org/officeDocument/2006/relationships/hyperlink" Target="https://curlytales.com/india/food/cafe-hoppers-rejoice-gujarats-biggest-cafe-komo-by-kaffa-opens-in-ahmedabad/" TargetMode="External"/><Relationship Id="rId38" Type="http://schemas.openxmlformats.org/officeDocument/2006/relationships/hyperlink" Target="https://www.pulled.coffee/shop/bouee-coffee-roasters-surat" TargetMode="External"/><Relationship Id="rId39" Type="http://schemas.openxmlformats.org/officeDocument/2006/relationships/hyperlink" Target="https://coffeeculture.co.in/" TargetMode="External"/><Relationship Id="rId40" Type="http://schemas.openxmlformats.org/officeDocument/2006/relationships/hyperlink" Target="https://coffeeculture.co.in/pages/location" TargetMode="External"/><Relationship Id="rId41" Type="http://schemas.openxmlformats.org/officeDocument/2006/relationships/hyperlink" Target="https://wanderlog.com/list/geoCategory/282401/best-coffee-shops-and-best-cafes-in-surat" TargetMode="External"/><Relationship Id="rId42" Type="http://schemas.openxmlformats.org/officeDocument/2006/relationships/hyperlink" Target="https://lbb.in/goa/java-junkies-youll-love-this-df7516/" TargetMode="External"/><Relationship Id="rId43" Type="http://schemas.openxmlformats.org/officeDocument/2006/relationships/hyperlink" Target="https://www.instagram.com/rubyscoffee_goa/" TargetMode="External"/><Relationship Id="rId44" Type="http://schemas.openxmlformats.org/officeDocument/2006/relationships/hyperlink" Target="https://www.instagram.com/rubyscoffee_goa/" TargetMode="External"/><Relationship Id="rId45" Type="http://schemas.openxmlformats.org/officeDocument/2006/relationships/hyperlink" Target="https://www.district.in/blog/speciality-coffee-cafes-goa" TargetMode="External"/><Relationship Id="rId46" Type="http://schemas.openxmlformats.org/officeDocument/2006/relationships/hyperlink" Target="https://lbb.in/goa/babka-coffee-shop-desserts-anjuna" TargetMode="External"/><Relationship Id="rId47" Type="http://schemas.openxmlformats.org/officeDocument/2006/relationships/hyperlink" Target="https://www.district.in/blog/speciality-coffee-cafes-goa" TargetMode="External"/><Relationship Id="rId48" Type="http://schemas.openxmlformats.org/officeDocument/2006/relationships/hyperlink" Target="https://www.tripadvisor.com/Restaurant_Review-g319726-d19418225-Reviews-Handcrafted_Cafe_and_Roastery-Bhopal_Bhopal_District_Madhya_Pradesh.html" TargetMode="External"/><Relationship Id="rId49" Type="http://schemas.openxmlformats.org/officeDocument/2006/relationships/hyperlink" Target="https://www.instagram.com/siolim.coffee/" TargetMode="External"/><Relationship Id="rId50" Type="http://schemas.openxmlformats.org/officeDocument/2006/relationships/hyperlink" Target="https://www.siolim.coffee/" TargetMode="External"/><Relationship Id="rId51" Type="http://schemas.openxmlformats.org/officeDocument/2006/relationships/hyperlink" Target="https://homegrown.co.in/homegrown-supply/siolims-artisanal-roasts-are-bringing-a-community-driven-approach-to-central-indian-coffee" TargetMode="External"/><Relationship Id="rId52" Type="http://schemas.openxmlformats.org/officeDocument/2006/relationships/hyperlink" Target="https://in.linkedin.com/company/worldofkacoba" TargetMode="External"/><Relationship Id="rId53" Type="http://schemas.openxmlformats.org/officeDocument/2006/relationships/hyperlink" Target="https://www.indiancoffeeguide.com/locations" TargetMode="External"/><Relationship Id="rId54" Type="http://schemas.openxmlformats.org/officeDocument/2006/relationships/hyperlink" Target="https://www.instagram.com/brewtowncoffeeroasters/" TargetMode="External"/><Relationship Id="rId55" Type="http://schemas.openxmlformats.org/officeDocument/2006/relationships/hyperlink" Target="https://www.instagram.com/brewtowncoffeeroasters/" TargetMode="External"/><Relationship Id="rId56" Type="http://schemas.openxmlformats.org/officeDocument/2006/relationships/hyperlink" Target="https://www.instagram.com/capulusbeansroasters/" TargetMode="External"/><Relationship Id="rId57" Type="http://schemas.openxmlformats.org/officeDocument/2006/relationships/hyperlink" Target="https://www.instagram.com/capulusbeansroasters/" TargetMode="External"/><Relationship Id="rId58" Type="http://schemas.openxmlformats.org/officeDocument/2006/relationships/hyperlink" Target="https://www.instagram.com/sutracoffee/" TargetMode="External"/><Relationship Id="rId59" Type="http://schemas.openxmlformats.org/officeDocument/2006/relationships/hyperlink" Target="https://www.restaurantindia.in/news/coffee-sutra-opens-third-cafe-in-jaipur-with-advanced-global-brewing-systems.n12995" TargetMode="External"/><Relationship Id="rId60" Type="http://schemas.openxmlformats.org/officeDocument/2006/relationships/hyperlink" Target="https://in.linkedin.com/company/half-light-coffee-roasters" TargetMode="External"/><Relationship Id="rId61" Type="http://schemas.openxmlformats.org/officeDocument/2006/relationships/hyperlink" Target="https://www.district.in/blog/specialty-coffee-jaipur" TargetMode="External"/><Relationship Id="rId62" Type="http://schemas.openxmlformats.org/officeDocument/2006/relationships/hyperlink" Target="https://www.instagram.com/cafenoirjaipur/" TargetMode="External"/><Relationship Id="rId63" Type="http://schemas.openxmlformats.org/officeDocument/2006/relationships/hyperlink" Target="https://www.instagram.com/cafenoirjaipur/" TargetMode="External"/><Relationship Id="rId64" Type="http://schemas.openxmlformats.org/officeDocument/2006/relationships/hyperlink" Target="https://www.instagram.com/taffetacoffeeindia/" TargetMode="External"/><Relationship Id="rId65" Type="http://schemas.openxmlformats.org/officeDocument/2006/relationships/hyperlink" Target="https://www.instagram.com/taffetacoffeeindia/" TargetMode="External"/><Relationship Id="rId66" Type="http://schemas.openxmlformats.org/officeDocument/2006/relationships/hyperlink" Target="https://www.district.in/blog/specialty-coffee-jaipur" TargetMode="External"/><Relationship Id="rId67" Type="http://schemas.openxmlformats.org/officeDocument/2006/relationships/hyperlink" Target="https://explorejodhpur.com/best-coffee-spots-in-jodhpur/" TargetMode="External"/><Relationship Id="rId68" Type="http://schemas.openxmlformats.org/officeDocument/2006/relationships/hyperlink" Target="https://www.shoppingbazar.in/specialty-coffee-udaipur-third-wave-cafes/" TargetMode="External"/><Relationship Id="rId69" Type="http://schemas.openxmlformats.org/officeDocument/2006/relationships/hyperlink" Target="https://brootcoffee.com/" TargetMode="External"/><Relationship Id="rId70" Type="http://schemas.openxmlformats.org/officeDocument/2006/relationships/hyperlink" Target="https://brootcoffee.com/pages/wholesale-coffee-supplier" TargetMode="External"/><Relationship Id="rId71" Type="http://schemas.openxmlformats.org/officeDocument/2006/relationships/hyperlink" Target="https://wanderlog.com/list/geoCategory/1861413/coffee-roasters" TargetMode="External"/><Relationship Id="rId72" Type="http://schemas.openxmlformats.org/officeDocument/2006/relationships/hyperlink" Target="https://wanderlog.com/place/details/1079730/kaffa-cerrado-the-roastery" TargetMode="External"/><Relationship Id="rId73" Type="http://schemas.openxmlformats.org/officeDocument/2006/relationships/hyperlink" Target="https://www.outlooktraveller.com/ot-pours/7-unique-coffee-experiences-in-delhi-you-need-to-try" TargetMode="External"/><Relationship Id="rId74" Type="http://schemas.openxmlformats.org/officeDocument/2006/relationships/hyperlink" Target="https://brewatlas.co/delhi/cafes" TargetMode="External"/><Relationship Id="rId75" Type="http://schemas.openxmlformats.org/officeDocument/2006/relationships/hyperlink" Target="https://brewatlas.co/delhi/cafes" TargetMode="External"/><Relationship Id="rId76" Type="http://schemas.openxmlformats.org/officeDocument/2006/relationships/hyperlink" Target="https://www.instagram.com/pourover.in/" TargetMode="External"/><Relationship Id="rId77" Type="http://schemas.openxmlformats.org/officeDocument/2006/relationships/hyperlink" Target="https://www.franchiseindia.com/insights/en/news/pour-over-coffee-roasters-targets-100-outlets-by-2030.59848" TargetMode="External"/><Relationship Id="rId78" Type="http://schemas.openxmlformats.org/officeDocument/2006/relationships/hyperlink" Target="https://www.instagram.com/qbfcoffee/" TargetMode="External"/><Relationship Id="rId79" Type="http://schemas.openxmlformats.org/officeDocument/2006/relationships/hyperlink" Target="https://sites.google.com/view/best-coffee-shop-in-delhi/" TargetMode="External"/><Relationship Id="rId80" Type="http://schemas.openxmlformats.org/officeDocument/2006/relationships/hyperlink" Target="https://www.instagram.com/rossettecoffee/" TargetMode="External"/><Relationship Id="rId81" Type="http://schemas.openxmlformats.org/officeDocument/2006/relationships/hyperlink" Target="https://rossettecoffee.com/" TargetMode="External"/><Relationship Id="rId82" Type="http://schemas.openxmlformats.org/officeDocument/2006/relationships/hyperlink" Target="https://rossettecoffee.com/pages/wholesale" TargetMode="External"/><Relationship Id="rId83" Type="http://schemas.openxmlformats.org/officeDocument/2006/relationships/hyperlink" Target="https://brewclancoffee.com/" TargetMode="External"/><Relationship Id="rId84" Type="http://schemas.openxmlformats.org/officeDocument/2006/relationships/hyperlink" Target="https://brewclancoffee.com/" TargetMode="External"/><Relationship Id="rId85" Type="http://schemas.openxmlformats.org/officeDocument/2006/relationships/hyperlink" Target="https://brewatlas.co/delhi/cafes" TargetMode="External"/><Relationship Id="rId86" Type="http://schemas.openxmlformats.org/officeDocument/2006/relationships/hyperlink" Target="https://wholesale.bluetokaicoffee.com/" TargetMode="External"/><Relationship Id="rId87" Type="http://schemas.openxmlformats.org/officeDocument/2006/relationships/hyperlink" Target="https://in.linkedin.com/company/bluetokaicoffeeroasters" TargetMode="External"/><Relationship Id="rId88" Type="http://schemas.openxmlformats.org/officeDocument/2006/relationships/hyperlink" Target="https://ionanalytics.com/insights/mergermarket/blue-tokai-opportunity-underscores-growing-investor-appetite-for-indias-specialty-coffee-sector-dealspeak-apac/" TargetMode="External"/><Relationship Id="rId89" Type="http://schemas.openxmlformats.org/officeDocument/2006/relationships/hyperlink" Target="https://in.linkedin.com/company/93-degrees-coffee-roasters" TargetMode="External"/><Relationship Id="rId90" Type="http://schemas.openxmlformats.org/officeDocument/2006/relationships/hyperlink" Target="https://in.linkedin.com/company/93-degrees-coffee-roasters" TargetMode="External"/><Relationship Id="rId91" Type="http://schemas.openxmlformats.org/officeDocument/2006/relationships/hyperlink" Target="https://www.instagram.com/yourfirstcoffee/" TargetMode="External"/><Relationship Id="rId92" Type="http://schemas.openxmlformats.org/officeDocument/2006/relationships/hyperlink" Target="https://www.indianretailer.com/news/funding-alert-specialty-coffee-brand-first-coffee-secures-13-mn-fresh-funding" TargetMode="External"/><Relationship Id="rId93" Type="http://schemas.openxmlformats.org/officeDocument/2006/relationships/hyperlink" Target="https://www.restaurantindia.in/news/restaurant-india-news-gram-street-opens-in-gurugram-with-compact-specialty-caf-format.n16107" TargetMode="External"/><Relationship Id="rId94" Type="http://schemas.openxmlformats.org/officeDocument/2006/relationships/hyperlink" Target="https://www.district.in/blog/specialty-coffee-cafes-chandigarh" TargetMode="External"/><Relationship Id="rId95" Type="http://schemas.openxmlformats.org/officeDocument/2006/relationships/hyperlink" Target="https://www.pinaak.co/discover/varanasi-cafes-restaurants" TargetMode="External"/><Relationship Id="rId96" Type="http://schemas.openxmlformats.org/officeDocument/2006/relationships/hyperlink" Target="https://www.instagram.com/doubleshotroasters/" TargetMode="External"/><Relationship Id="rId97" Type="http://schemas.openxmlformats.org/officeDocument/2006/relationships/hyperlink" Target="https://doubleshotcoffee.in/" TargetMode="External"/><Relationship Id="rId98" Type="http://schemas.openxmlformats.org/officeDocument/2006/relationships/hyperlink" Target="https://doubleshotcoffee.in/" TargetMode="External"/><Relationship Id="rId99" Type="http://schemas.openxmlformats.org/officeDocument/2006/relationships/hyperlink" Target="https://rokazu.com/coffee-shops-in-punjab-india/" TargetMode="External"/><Relationship Id="rId100" Type="http://schemas.openxmlformats.org/officeDocument/2006/relationships/hyperlink" Target="https://ikkis.coffee/" TargetMode="External"/><Relationship Id="rId101" Type="http://schemas.openxmlformats.org/officeDocument/2006/relationships/hyperlink" Target="https://ikkis.coffee/" TargetMode="External"/><Relationship Id="rId102" Type="http://schemas.openxmlformats.org/officeDocument/2006/relationships/hyperlink" Target="https://kaapilaroasters.com/" TargetMode="External"/><Relationship Id="rId103" Type="http://schemas.openxmlformats.org/officeDocument/2006/relationships/hyperlink" Target="https://kaapilaroasters.com/discover-kaapi-la-chandigarhs-pioneering-specialty-coffee-roaster/" TargetMode="External"/><Relationship Id="rId104" Type="http://schemas.openxmlformats.org/officeDocument/2006/relationships/hyperlink" Target="https://dharamshalaguide.com/cafes-in-mcleodganj/" TargetMode="External"/><Relationship Id="rId105" Type="http://schemas.openxmlformats.org/officeDocument/2006/relationships/hyperlink" Target="https://thirdeyetraveller.com/dylans-toasted-and-roasted-coffee-house/" TargetMode="External"/><Relationship Id="rId106" Type="http://schemas.openxmlformats.org/officeDocument/2006/relationships/hyperlink" Target="https://www.tripadvisor.in/Restaurants-g297625-c8-Leh_Leh_District_Ladakh.html" TargetMode="External"/><Relationship Id="rId107" Type="http://schemas.openxmlformats.org/officeDocument/2006/relationships/hyperlink" Target="https://www.district.in/blog/specialty-coffee-jaipur" TargetMode="External"/><Relationship Id="rId108" Type="http://schemas.openxmlformats.org/officeDocument/2006/relationships/hyperlink" Target="https://www.outlooktraveller.com/ot-pours/7-unique-coffee-experiences-in-delhi-you-need-to-try" TargetMode="External"/><Relationship Id="rId109" Type="http://schemas.openxmlformats.org/officeDocument/2006/relationships/hyperlink" Target="https://www.instagram.com/craftcoffeeindia/" TargetMode="External"/><Relationship Id="rId110" Type="http://schemas.openxmlformats.org/officeDocument/2006/relationships/hyperlink" Target="https://www.instagram.com/craftcoffeeindia/" TargetMode="External"/><Relationship Id="rId111" Type="http://schemas.openxmlformats.org/officeDocument/2006/relationships/hyperlink" Target="https://www.instagram.com/potboilercoffee/" TargetMode="External"/><Relationship Id="rId112" Type="http://schemas.openxmlformats.org/officeDocument/2006/relationships/hyperlink" Target="https://www.instagram.com/potboilercoffee/" TargetMode="External"/><Relationship Id="rId113" Type="http://schemas.openxmlformats.org/officeDocument/2006/relationships/hyperlink" Target="https://www.indiancoffeebeans.com/roasters" TargetMode="External"/><Relationship Id="rId114" Type="http://schemas.openxmlformats.org/officeDocument/2006/relationships/hyperlink" Target="https://www.instagram.com/30dayscoffeeroasters/" TargetMode="External"/><Relationship Id="rId115" Type="http://schemas.openxmlformats.org/officeDocument/2006/relationships/hyperlink" Target="https://www.instagram.com/30dayscoffeeroasters/" TargetMode="External"/><Relationship Id="rId116" Type="http://schemas.openxmlformats.org/officeDocument/2006/relationships/hyperlink" Target="https://www.instagram.com/kollaborativecoffeeroasters/" TargetMode="External"/><Relationship Id="rId117" Type="http://schemas.openxmlformats.org/officeDocument/2006/relationships/hyperlink" Target="https://www.instagram.com/kollaborativecoffeeroasters/" TargetMode="External"/><Relationship Id="rId118" Type="http://schemas.openxmlformats.org/officeDocument/2006/relationships/hyperlink" Target="https://www.instagram.com/yourstruly_coffee/" TargetMode="External"/><Relationship Id="rId119" Type="http://schemas.openxmlformats.org/officeDocument/2006/relationships/hyperlink" Target="https://www.instagram.com/yourstruly_coffee/" TargetMode="External"/><Relationship Id="rId120" Type="http://schemas.openxmlformats.org/officeDocument/2006/relationships/hyperlink" Target="https://www.instagram.com/koraput_coffee/" TargetMode="External"/><Relationship Id="rId121" Type="http://schemas.openxmlformats.org/officeDocument/2006/relationships/hyperlink" Target="https://www.instagram.com/koraput_coffee/" TargetMode="External"/><Relationship Id="rId122" Type="http://schemas.openxmlformats.org/officeDocument/2006/relationships/hyperlink" Target="https://deomalicoffee.in/" TargetMode="External"/><Relationship Id="rId123" Type="http://schemas.openxmlformats.org/officeDocument/2006/relationships/hyperlink" Target="https://deomalicoffee.in/" TargetMode="External"/><Relationship Id="rId124" Type="http://schemas.openxmlformats.org/officeDocument/2006/relationships/hyperlink" Target="https://www.localsamosa.com/business/odyssa-coffee-10652672" TargetMode="External"/><Relationship Id="rId125" Type="http://schemas.openxmlformats.org/officeDocument/2006/relationships/hyperlink" Target="https://www.slurrp.com/article/after-tea-can-north-east-ace-coffee-cultivation-1663241066010" TargetMode="External"/><Relationship Id="rId126" Type="http://schemas.openxmlformats.org/officeDocument/2006/relationships/hyperlink" Target="https://xtsy.one/cafes-in-shillong" TargetMode="External"/><Relationship Id="rId127" Type="http://schemas.openxmlformats.org/officeDocument/2006/relationships/hyperlink" Target="https://www.7000steps.com/" TargetMode="External"/><Relationship Id="rId128" Type="http://schemas.openxmlformats.org/officeDocument/2006/relationships/hyperlink" Target="https://www.7000steps.com/blogs/7000-steps-coffee/why-single-origin-coffee-from-indias-northeast-is-your-cafes-secret-weapon-2025" TargetMode="External"/><Relationship Id="rId129" Type="http://schemas.openxmlformats.org/officeDocument/2006/relationships/hyperlink" Target="https://mbda.gov.in/smoky-falls-tribe-coffee-taking-meghalaya&#8217;s-high-quality-indigenous-coffee-world" TargetMode="External"/><Relationship Id="rId130" Type="http://schemas.openxmlformats.org/officeDocument/2006/relationships/hyperlink" Target="https://eastmojo.com/sikkim/2021/04/20/gangtoks-best-coffee-spots-where-to-get-your-caffeine-hit/" TargetMode="External"/><Relationship Id="rId131" Type="http://schemas.openxmlformats.org/officeDocument/2006/relationships/hyperlink" Target="https://mokokchungtimes.com/juro-coffee-house-announces-the-opening-of-a-new-live-roaster-roastery-unit/?amp=1" TargetMode="External"/><Relationship Id="rId132" Type="http://schemas.openxmlformats.org/officeDocument/2006/relationships/hyperlink" Target="https://theprint.in/feature/dimapur-to-kohima-nagaland-cafe-boom-signals-there-is-peace/1101341" TargetMode="External"/><Relationship Id="rId133" Type="http://schemas.openxmlformats.org/officeDocument/2006/relationships/hyperlink" Target="https://www.instagram.com/ete_coffee/" TargetMode="External"/><Relationship Id="rId134" Type="http://schemas.openxmlformats.org/officeDocument/2006/relationships/hyperlink" Target="https://www.instagram.com/ete_coffee/" TargetMode="External"/><Relationship Id="rId135" Type="http://schemas.openxmlformats.org/officeDocument/2006/relationships/hyperlink" Target="https://www.instagram.com/countrybean_aizawl_official/" TargetMode="External"/><Relationship Id="rId136" Type="http://schemas.openxmlformats.org/officeDocument/2006/relationships/hyperlink" Target="https://www.instagram.com/countrybean_aizawl_official/" TargetMode="External"/><Relationship Id="rId137" Type="http://schemas.openxmlformats.org/officeDocument/2006/relationships/hyperlink" Target="https://www.slurrp.com/article/after-tea-can-north-east-ace-coffee-cultivation-1663241066010" TargetMode="External"/><Relationship Id="rId138" Type="http://schemas.openxmlformats.org/officeDocument/2006/relationships/hyperlink" Target="https://www.instagram.com/bloomcoffeeroastersindia/" TargetMode="External"/><Relationship Id="rId139" Type="http://schemas.openxmlformats.org/officeDocument/2006/relationships/hyperlink" Target="https://www.thewaytocoffee.com/roasters/bloom-coffee-roasters" TargetMode="External"/><Relationship Id="rId140" Type="http://schemas.openxmlformats.org/officeDocument/2006/relationships/hyperlink" Target="https://www.instagram.com/kasa_coffee_/" TargetMode="External"/><Relationship Id="rId141" Type="http://schemas.openxmlformats.org/officeDocument/2006/relationships/hyperlink" Target="https://www.instagram.com/kasa_coffee_/" TargetMode="External"/><Relationship Id="rId142" Type="http://schemas.openxmlformats.org/officeDocument/2006/relationships/hyperlink" Target="https://www.instagram.com/nscoffeeroaster/" TargetMode="External"/><Relationship Id="rId143" Type="http://schemas.openxmlformats.org/officeDocument/2006/relationships/hyperlink" Target="https://www.instagram.com/nscoffeeroaster/" TargetMode="External"/><Relationship Id="rId144"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s://www.indiamart.com/arrowhospitalityconsulting/restaurant-and-cafe-franchise-consulting.html" TargetMode="External"/><Relationship Id="rId2" Type="http://schemas.openxmlformats.org/officeDocument/2006/relationships/hyperlink" Target="https://kaapimachines.com/coffee-consulting-services/" TargetMode="External"/><Relationship Id="rId3" Type="http://schemas.openxmlformats.org/officeDocument/2006/relationships/hyperlink" Target="https://kaapimachines.com/blogs/cafe-consulting/coffee-project-consulting/" TargetMode="External"/><Relationship Id="rId4" Type="http://schemas.openxmlformats.org/officeDocument/2006/relationships/hyperlink" Target="https://kaapisolutions.com/cafe-setup-consultancy/" TargetMode="External"/><Relationship Id="rId5" Type="http://schemas.openxmlformats.org/officeDocument/2006/relationships/hyperlink" Target="https://kaapisolutions.com/cafe-setup-consultancy/" TargetMode="External"/><Relationship Id="rId6" Type="http://schemas.openxmlformats.org/officeDocument/2006/relationships/hyperlink" Target="https://www.westendcoffee.co/cafe-consulting-services/" TargetMode="External"/><Relationship Id="rId7" Type="http://schemas.openxmlformats.org/officeDocument/2006/relationships/hyperlink" Target="https://www.westendcoffee.co/cafe-consulting-services/" TargetMode="External"/><Relationship Id="rId8" Type="http://schemas.openxmlformats.org/officeDocument/2006/relationships/hyperlink" Target="https://www.takumibrew.com/" TargetMode="External"/><Relationship Id="rId9" Type="http://schemas.openxmlformats.org/officeDocument/2006/relationships/hyperlink" Target="https://www.takumibrew.com/product/specialty-coffee-consulting-plan-signature-drinks/" TargetMode="External"/><Relationship Id="rId10" Type="http://schemas.openxmlformats.org/officeDocument/2006/relationships/hyperlink" Target="https://www.instagram.com/barista.training.academy/" TargetMode="External"/><Relationship Id="rId11" Type="http://schemas.openxmlformats.org/officeDocument/2006/relationships/hyperlink" Target="https://www.instagram.com/baristacafeacademy/" TargetMode="External"/><Relationship Id="rId12" Type="http://schemas.openxmlformats.org/officeDocument/2006/relationships/hyperlink" Target="https://www.instagram.com/specialtycoffeeacademyindia/" TargetMode="External"/><Relationship Id="rId13" Type="http://schemas.openxmlformats.org/officeDocument/2006/relationships/hyperlink" Target="https://www.instagram.com/indian_barista/" TargetMode="External"/><Relationship Id="rId14" Type="http://schemas.openxmlformats.org/officeDocument/2006/relationships/hyperlink" Target="https://mumbaicoffeecollective.com/" TargetMode="External"/><Relationship Id="rId15" Type="http://schemas.openxmlformats.org/officeDocument/2006/relationships/hyperlink" Target="https://mumbaicoffeecollective.com/pages/specialty-coffee-mumbai" TargetMode="External"/><Relationship Id="rId16" Type="http://schemas.openxmlformats.org/officeDocument/2006/relationships/hyperlink" Target="https://www.instagram.com/jaipurcoffeecommunity/" TargetMode="External"/><Relationship Id="rId17" Type="http://schemas.openxmlformats.org/officeDocument/2006/relationships/hyperlink" Target="https://www.reddit.com/r/PuneCoffee/" TargetMode="External"/><Relationship Id="rId18" Type="http://schemas.openxmlformats.org/officeDocument/2006/relationships/hyperlink" Target="https://redlib.groet-infra.nl/r/PuneCoffee/new" TargetMode="External"/><Relationship Id="rId19" Type="http://schemas.openxmlformats.org/officeDocument/2006/relationships/hyperlink" Target="https://caramelly.in/collections/roaster-market" TargetMode="External"/><Relationship Id="rId20" Type="http://schemas.openxmlformats.org/officeDocument/2006/relationships/hyperlink" Target="https://caramelly.in/collections/roaster-market" TargetMode="External"/><Relationship Id="rId21" Type="http://schemas.openxmlformats.org/officeDocument/2006/relationships/hyperlink" Target="https://www.indiancoffeebeans.com/roasters" TargetMode="External"/><Relationship Id="rId22" Type="http://schemas.openxmlformats.org/officeDocument/2006/relationships/hyperlink" Target="https://www.indiancoffeebeans.com/roasters" TargetMode="External"/><Relationship Id="rId23" Type="http://schemas.openxmlformats.org/officeDocument/2006/relationships/hyperlink" Target="https://specialitycoffeeonline.com/speciality-coffee-statistics/india/pune/" TargetMode="External"/><Relationship Id="rId24" Type="http://schemas.openxmlformats.org/officeDocument/2006/relationships/hyperlink" Target="https://specialitycoffeeonline.com/speciality-coffee-statistics/india/pune/" TargetMode="External"/><Relationship Id="rId25" Type="http://schemas.openxmlformats.org/officeDocument/2006/relationships/hyperlink" Target="https://www.withorbital.com/conferences/world-tea-and-coffee-expo-india-2026" TargetMode="External"/><Relationship Id="rId26" Type="http://schemas.openxmlformats.org/officeDocument/2006/relationships/hyperlink" Target="https://www.timeout.com/india/news/indias-biggest-coffee-festival-is-finally-back-in-bengaluru-021226" TargetMode="External"/><Relationship Id="rId27" Type="http://schemas.openxmlformats.org/officeDocument/2006/relationships/hyperlink" Target="https://www.instagram.com/cafeamado.in/" TargetMode="External"/><Relationship Id="rId28" Type="http://schemas.openxmlformats.org/officeDocument/2006/relationships/hyperlink" Target="https://www.instagram.com/goaspecialtycoffee/" TargetMode="External"/><Relationship Id="rId29" Type="http://schemas.openxmlformats.org/officeDocument/2006/relationships/hyperlink" Target="https://www.instagram.com/cafesofchandigarh/" TargetMode="External"/><Relationship Id="rId30" Type="http://schemas.openxmlformats.org/officeDocument/2006/relationships/hyperlink" Target="https://www.instagram.com/cafesinudaipur/" TargetMode="External"/><Relationship Id="rId31" Type="http://schemas.openxmlformats.org/officeDocument/2006/relationships/hyperlink" Target="https://www.instagram.com/brown_valley/" TargetMode="External"/><Relationship Id="rId32" Type="http://schemas.openxmlformats.org/officeDocument/2006/relationships/hyperlink" Target="https://thenodmag.com/content/pardon-our-french-pooja-dhingra-cafe-ballard-estate-mumbai-review" TargetMode="External"/><Relationship Id="rId33" Type="http://schemas.openxmlformats.org/officeDocument/2006/relationships/hyperlink" Target="https://www.thewaytocoffee.com/" TargetMode="External"/><Relationship Id="rId34" Type="http://schemas.openxmlformats.org/officeDocument/2006/relationships/hyperlink" Target="https://somethingsbrewing.in/" TargetMode="External"/><Relationship Id="rId35" Type="http://schemas.openxmlformats.org/officeDocument/2006/relationships/hyperlink" Target="https://www.pulled.coffee/" TargetMode="External"/><Relationship Id="rId36" Type="http://schemas.openxmlformats.org/officeDocument/2006/relationships/hyperlink" Target="https://www.freepressjournal.in/indore/brewing-dreams-into-reality-meet-the-passionate-founders-of-indore-brewing-club-stirring-up-a-revolution-one-cup-at-a-time" TargetMode="External"/><Relationship Id="rId37" Type="http://schemas.openxmlformats.org/officeDocument/2006/relationships/hyperlink" Target="https://rootsandleisure.com/nagaland-coffee-shop-dimapur/" TargetMode="External"/><Relationship Id="rId38" Type="http://schemas.openxmlformats.org/officeDocument/2006/relationships/hyperlink" Target="https://morungexpress.com/coffees-of-nagaland-is-truly-a-whole-of-india-approach-bringing-all-stakeholders-together-scindia" TargetMode="External"/><Relationship Id="rId39" Type="http://schemas.openxmlformats.org/officeDocument/2006/relationships/hyperlink" Target="https://eastmojo.com/top-news/2024/12/10/mizoram-gets-northeast-indias-first-coffee-experience-centre/" TargetMode="External"/><Relationship Id="rId40"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3.8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23.85" hidden="false" customHeight="false" outlineLevel="0" collapsed="false">
      <c r="A19" s="2" t="s">
        <v>14</v>
      </c>
    </row>
    <row r="20" customFormat="false" ht="23.85" hidden="false" customHeight="false" outlineLevel="0" collapsed="false">
      <c r="A20" s="2" t="s">
        <v>15</v>
      </c>
    </row>
    <row r="21" customFormat="false" ht="23.8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23.8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3" t="s">
        <v>21</v>
      </c>
    </row>
    <row r="28" customFormat="false" ht="23.85" hidden="false" customHeight="false" outlineLevel="0" collapsed="false">
      <c r="A28" s="2" t="s">
        <v>22</v>
      </c>
    </row>
    <row r="29" customFormat="false" ht="15" hidden="false" customHeight="false" outlineLevel="0" collapsed="false">
      <c r="A29" s="2"/>
    </row>
    <row r="30" customFormat="false" ht="15" hidden="false" customHeight="false" outlineLevel="0" collapsed="false">
      <c r="A30" s="3" t="s">
        <v>23</v>
      </c>
    </row>
    <row r="31" customFormat="false" ht="35.05" hidden="false" customHeight="false" outlineLevel="0" collapsed="false">
      <c r="A31" s="2" t="s">
        <v>24</v>
      </c>
    </row>
    <row r="32" customFormat="false" ht="23.85" hidden="false" customHeight="false" outlineLevel="0" collapsed="false">
      <c r="A32" s="2" t="s">
        <v>25</v>
      </c>
    </row>
    <row r="33" customFormat="false" ht="15" hidden="false" customHeight="false" outlineLevel="0" collapsed="false">
      <c r="A33" s="2"/>
    </row>
    <row r="34" customFormat="false" ht="15" hidden="false" customHeight="false" outlineLevel="0" collapsed="false">
      <c r="A34" s="3" t="s">
        <v>26</v>
      </c>
    </row>
    <row r="35" customFormat="false" ht="15" hidden="false" customHeight="false" outlineLevel="0" collapsed="false">
      <c r="A35" s="4" t="s">
        <v>27</v>
      </c>
      <c r="B35" s="5" t="n">
        <f aca="false">COUNTA('All Cafes (Premium+Normal)'!$A$2:$A$281)</f>
        <v>280</v>
      </c>
    </row>
    <row r="36" customFormat="false" ht="15" hidden="false" customHeight="false" outlineLevel="0" collapsed="false">
      <c r="A36" s="4" t="s">
        <v>28</v>
      </c>
      <c r="B36" s="5" t="n">
        <f aca="false">COUNTIF('All Cafes (Premium+Normal)'!$D$2:$D$281,"Premium")</f>
        <v>109</v>
      </c>
    </row>
    <row r="37" customFormat="false" ht="15" hidden="false" customHeight="false" outlineLevel="0" collapsed="false">
      <c r="A37" s="4" t="s">
        <v>29</v>
      </c>
      <c r="B37" s="5" t="n">
        <f aca="false">COUNTIF('All Cafes (Premium+Normal)'!$D$2:$D$281,"Normal")</f>
        <v>171</v>
      </c>
    </row>
    <row r="38" customFormat="false" ht="15" hidden="false" customHeight="false" outlineLevel="0" collapsed="false">
      <c r="A38" s="4" t="s">
        <v>30</v>
      </c>
      <c r="B38" s="5" t="n">
        <f aca="false">COUNTIF('All Cafes (Premium+Normal)'!$B$2:$B$281,"A")</f>
        <v>60</v>
      </c>
    </row>
    <row r="39" customFormat="false" ht="15" hidden="false" customHeight="false" outlineLevel="0" collapsed="false">
      <c r="A39" s="4" t="s">
        <v>31</v>
      </c>
      <c r="B39" s="5" t="n">
        <f aca="false">COUNTA('Hot Leads (New &amp; Upcoming)'!$A$2:$A$91)</f>
        <v>90</v>
      </c>
    </row>
    <row r="40" customFormat="false" ht="15" hidden="false" customHeight="false" outlineLevel="0" collapsed="false">
      <c r="A40" s="4" t="s">
        <v>32</v>
      </c>
      <c r="B40" s="5" t="n">
        <f aca="false">COUNTIF('All Cafes (Premium+Normal)'!$C$2:$C$281,"Upcoming / Coming soon")</f>
        <v>4</v>
      </c>
    </row>
    <row r="41" customFormat="false" ht="15" hidden="false" customHeight="false" outlineLevel="0" collapsed="false">
      <c r="A41" s="4" t="s">
        <v>33</v>
      </c>
      <c r="B41" s="5" t="n">
        <f aca="false">COUNTIF('All Cafes (Premium+Normal)'!$C$2:$C$281,"New (opened 2026)")</f>
        <v>82</v>
      </c>
    </row>
    <row r="42" customFormat="false" ht="15" hidden="false" customHeight="false" outlineLevel="0" collapsed="false">
      <c r="A42" s="4" t="s">
        <v>34</v>
      </c>
      <c r="B42" s="5" t="n">
        <f aca="false">COUNTIF('All Cafes (Premium+Normal)'!$F$2:$F$281,"Multi-roaster cafe")</f>
        <v>6</v>
      </c>
    </row>
    <row r="43" customFormat="false" ht="15" hidden="false" customHeight="false" outlineLevel="0" collapsed="false">
      <c r="A43" s="4" t="s">
        <v>35</v>
      </c>
      <c r="B43" s="5" t="n">
        <f aca="false">COUNTIF('All Cafes (Premium+Normal)'!$K$2:$K$281,"Yes*")</f>
        <v>12</v>
      </c>
    </row>
    <row r="44" customFormat="false" ht="15" hidden="false" customHeight="false" outlineLevel="0" collapsed="false">
      <c r="A44" s="4" t="s">
        <v>36</v>
      </c>
      <c r="B44" s="5" t="n">
        <f aca="false">COUNTA('Supply Map'!$A$2:$A$51)-COUNTIF('Supply Map'!$A$2:$A$51,"Own roastery*")</f>
        <v>37</v>
      </c>
    </row>
    <row r="45" customFormat="false" ht="15" hidden="false" customHeight="false" outlineLevel="0" collapsed="false">
      <c r="A45" s="4" t="s">
        <v>37</v>
      </c>
      <c r="B45" s="5" t="n">
        <f aca="false">COUNTIF('All Cafes (Premium+Normal)'!$U$2:$U$281,"@*")</f>
        <v>110</v>
      </c>
    </row>
    <row r="46" customFormat="false" ht="15" hidden="false" customHeight="false" outlineLevel="0" collapsed="false">
      <c r="A46" s="4" t="s">
        <v>38</v>
      </c>
      <c r="B46" s="5" t="n">
        <f aca="false">COUNTA(Roasters!$A$2:$A$95)</f>
        <v>94</v>
      </c>
    </row>
    <row r="47" customFormat="false" ht="15" hidden="false" customHeight="false" outlineLevel="0" collapsed="false">
      <c r="A47" s="4" t="s">
        <v>39</v>
      </c>
      <c r="B47" s="5" t="n">
        <f aca="false">COUNTA('Channel Partners'!$A$2:$A$31)</f>
        <v>30</v>
      </c>
    </row>
    <row r="48" customFormat="false" ht="15" hidden="false" customHeight="false" outlineLevel="0" collapsed="false">
      <c r="A48" s="4" t="s">
        <v>40</v>
      </c>
      <c r="B48" s="5" t="n">
        <f aca="false">COUNTIF('All Cafes (Premium+Normal)'!$AG$2:$AG$281,"?*")</f>
        <v>262</v>
      </c>
    </row>
    <row r="49" customFormat="false" ht="15" hidden="false" customHeight="false" outlineLevel="0" collapsed="false">
      <c r="A49" s="4" t="s">
        <v>41</v>
      </c>
      <c r="B49" s="5" t="n">
        <f aca="false">COUNTA('Web Check — Supplier Leads'!$A$2:$A$19)</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8"/>
    <col collapsed="false" customWidth="true" hidden="false" outlineLevel="0" max="4" min="4" style="0" width="9"/>
    <col collapsed="false" customWidth="true" hidden="false" outlineLevel="0" max="5" min="5" style="0" width="30"/>
    <col collapsed="false" customWidth="true" hidden="false" outlineLevel="0" max="6" min="6" style="0" width="22"/>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32"/>
    <col collapsed="false" customWidth="true" hidden="false" outlineLevel="0" max="11" min="11" style="0" width="14"/>
    <col collapsed="false" customWidth="true" hidden="false" outlineLevel="0" max="12" min="12" style="0" width="50"/>
    <col collapsed="false" customWidth="true" hidden="false" outlineLevel="0" max="13" min="13" style="0" width="32"/>
    <col collapsed="false" customWidth="true" hidden="false" outlineLevel="0" max="14" min="14" style="0" width="22"/>
    <col collapsed="false" customWidth="true" hidden="false" outlineLevel="0" max="15" min="15" style="0" width="40"/>
    <col collapsed="false" customWidth="true" hidden="false" outlineLevel="0" max="16" min="16" style="0" width="45"/>
    <col collapsed="false" customWidth="true" hidden="false" outlineLevel="0" max="17" min="17" style="0" width="55"/>
    <col collapsed="false" customWidth="true" hidden="false" outlineLevel="0" max="18" min="18" style="0" width="60"/>
    <col collapsed="false" customWidth="true" hidden="false" outlineLevel="0" max="19" min="19" style="0" width="40"/>
    <col collapsed="false" customWidth="true" hidden="false" outlineLevel="0" max="20" min="20" style="0" width="16"/>
    <col collapsed="false" customWidth="true" hidden="false" outlineLevel="0" max="21" min="21" style="0" width="24"/>
    <col collapsed="false" customWidth="true" hidden="false" outlineLevel="0" max="22" min="22" style="0" width="34"/>
    <col collapsed="false" customWidth="true" hidden="false" outlineLevel="0" max="23" min="23" style="0" width="30"/>
    <col collapsed="false" customWidth="true" hidden="false" outlineLevel="0" max="24" min="24" style="0" width="28"/>
    <col collapsed="false" customWidth="true" hidden="false" outlineLevel="0" max="25" min="25" style="0" width="22"/>
    <col collapsed="false" customWidth="true" hidden="false" outlineLevel="0" max="26" min="26" style="0" width="30"/>
    <col collapsed="false" customWidth="true" hidden="false" outlineLevel="0" max="27" min="27" style="0" width="34"/>
    <col collapsed="false" customWidth="true" hidden="false" outlineLevel="0" max="28" min="28" style="0" width="30"/>
    <col collapsed="false" customWidth="true" hidden="false" outlineLevel="0" max="29" min="29" style="0" width="45"/>
    <col collapsed="false" customWidth="true" hidden="false" outlineLevel="0" max="30" min="30" style="0" width="40"/>
    <col collapsed="false" customWidth="true" hidden="false" outlineLevel="0" max="31" min="31" style="0" width="60"/>
    <col collapsed="false" customWidth="true" hidden="false" outlineLevel="0" max="32" min="32" style="0" width="30"/>
    <col collapsed="false" customWidth="true" hidden="false" outlineLevel="0" max="33" min="33" style="0" width="45"/>
  </cols>
  <sheetData>
    <row r="1" customFormat="false" ht="30" hidden="false" customHeight="true" outlineLevel="0" collapsed="false">
      <c r="A1" s="6" t="s">
        <v>42</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6" t="s">
        <v>61</v>
      </c>
      <c r="U1" s="6" t="s">
        <v>62</v>
      </c>
      <c r="V1" s="6" t="s">
        <v>63</v>
      </c>
      <c r="W1" s="6" t="s">
        <v>64</v>
      </c>
      <c r="X1" s="6" t="s">
        <v>65</v>
      </c>
      <c r="Y1" s="6" t="s">
        <v>66</v>
      </c>
      <c r="Z1" s="6" t="s">
        <v>67</v>
      </c>
      <c r="AA1" s="6" t="s">
        <v>68</v>
      </c>
      <c r="AB1" s="6" t="s">
        <v>69</v>
      </c>
      <c r="AC1" s="6" t="s">
        <v>70</v>
      </c>
      <c r="AD1" s="6" t="s">
        <v>71</v>
      </c>
      <c r="AE1" s="6" t="s">
        <v>72</v>
      </c>
      <c r="AF1" s="6" t="s">
        <v>73</v>
      </c>
      <c r="AG1" s="6" t="s">
        <v>74</v>
      </c>
    </row>
    <row r="2" customFormat="false" ht="35.05" hidden="false" customHeight="false" outlineLevel="0" collapsed="false">
      <c r="A2" s="7" t="s">
        <v>75</v>
      </c>
      <c r="B2" s="7" t="s">
        <v>76</v>
      </c>
      <c r="C2" s="7" t="s">
        <v>77</v>
      </c>
      <c r="D2" s="7" t="s">
        <v>78</v>
      </c>
      <c r="E2" s="7" t="s">
        <v>79</v>
      </c>
      <c r="F2" s="7" t="s">
        <v>80</v>
      </c>
      <c r="G2" s="7" t="s">
        <v>81</v>
      </c>
      <c r="H2" s="7" t="s">
        <v>82</v>
      </c>
      <c r="I2" s="7" t="s">
        <v>83</v>
      </c>
      <c r="J2" s="7" t="s">
        <v>84</v>
      </c>
      <c r="K2" s="7" t="s">
        <v>85</v>
      </c>
      <c r="L2" s="7" t="s">
        <v>86</v>
      </c>
      <c r="M2" s="7" t="s">
        <v>87</v>
      </c>
      <c r="N2" s="7"/>
      <c r="O2" s="7"/>
      <c r="P2" s="7" t="s">
        <v>88</v>
      </c>
      <c r="Q2" s="7" t="s">
        <v>89</v>
      </c>
      <c r="R2" s="7" t="s">
        <v>90</v>
      </c>
      <c r="S2" s="7" t="s">
        <v>91</v>
      </c>
      <c r="T2" s="7" t="s">
        <v>92</v>
      </c>
      <c r="U2" s="7"/>
      <c r="V2" s="7"/>
      <c r="W2" s="7"/>
      <c r="X2" s="7"/>
      <c r="Y2" s="7"/>
      <c r="Z2" s="7"/>
      <c r="AA2" s="8" t="s">
        <v>93</v>
      </c>
      <c r="AB2" s="7"/>
      <c r="AC2" s="7" t="s">
        <v>94</v>
      </c>
      <c r="AD2" s="7" t="s">
        <v>95</v>
      </c>
      <c r="AE2" s="7"/>
      <c r="AF2" s="7"/>
      <c r="AG2" s="7" t="s">
        <v>96</v>
      </c>
    </row>
    <row r="3" customFormat="false" ht="57.45" hidden="false" customHeight="false" outlineLevel="0" collapsed="false">
      <c r="A3" s="7" t="s">
        <v>97</v>
      </c>
      <c r="B3" s="7" t="s">
        <v>76</v>
      </c>
      <c r="C3" s="7" t="s">
        <v>77</v>
      </c>
      <c r="D3" s="7" t="s">
        <v>98</v>
      </c>
      <c r="E3" s="7" t="s">
        <v>99</v>
      </c>
      <c r="F3" s="7" t="s">
        <v>100</v>
      </c>
      <c r="G3" s="7" t="s">
        <v>101</v>
      </c>
      <c r="H3" s="7" t="s">
        <v>102</v>
      </c>
      <c r="I3" s="7" t="s">
        <v>103</v>
      </c>
      <c r="J3" s="7" t="s">
        <v>104</v>
      </c>
      <c r="K3" s="7" t="s">
        <v>85</v>
      </c>
      <c r="L3" s="7" t="s">
        <v>105</v>
      </c>
      <c r="M3" s="7" t="s">
        <v>87</v>
      </c>
      <c r="N3" s="7"/>
      <c r="O3" s="7"/>
      <c r="P3" s="7" t="s">
        <v>106</v>
      </c>
      <c r="Q3" s="7" t="s">
        <v>89</v>
      </c>
      <c r="R3" s="7" t="s">
        <v>107</v>
      </c>
      <c r="S3" s="7" t="s">
        <v>108</v>
      </c>
      <c r="T3" s="7" t="s">
        <v>109</v>
      </c>
      <c r="U3" s="7" t="s">
        <v>110</v>
      </c>
      <c r="V3" s="8" t="s">
        <v>111</v>
      </c>
      <c r="W3" s="7"/>
      <c r="X3" s="7"/>
      <c r="Y3" s="7"/>
      <c r="Z3" s="7"/>
      <c r="AA3" s="7"/>
      <c r="AB3" s="7"/>
      <c r="AC3" s="8" t="s">
        <v>111</v>
      </c>
      <c r="AD3" s="7" t="s">
        <v>112</v>
      </c>
      <c r="AE3" s="7" t="s">
        <v>113</v>
      </c>
      <c r="AF3" s="7"/>
      <c r="AG3" s="7" t="s">
        <v>114</v>
      </c>
    </row>
    <row r="4" customFormat="false" ht="91" hidden="false" customHeight="false" outlineLevel="0" collapsed="false">
      <c r="A4" s="7" t="s">
        <v>115</v>
      </c>
      <c r="B4" s="7" t="s">
        <v>116</v>
      </c>
      <c r="C4" s="7" t="s">
        <v>77</v>
      </c>
      <c r="D4" s="7" t="s">
        <v>78</v>
      </c>
      <c r="E4" s="7" t="s">
        <v>117</v>
      </c>
      <c r="F4" s="7" t="s">
        <v>118</v>
      </c>
      <c r="G4" s="7" t="s">
        <v>81</v>
      </c>
      <c r="H4" s="7" t="s">
        <v>82</v>
      </c>
      <c r="I4" s="7" t="s">
        <v>119</v>
      </c>
      <c r="J4" s="7" t="s">
        <v>120</v>
      </c>
      <c r="K4" s="7" t="s">
        <v>121</v>
      </c>
      <c r="L4" s="7" t="s">
        <v>105</v>
      </c>
      <c r="M4" s="7" t="s">
        <v>122</v>
      </c>
      <c r="N4" s="7"/>
      <c r="O4" s="7"/>
      <c r="P4" s="7" t="s">
        <v>123</v>
      </c>
      <c r="Q4" s="7" t="s">
        <v>124</v>
      </c>
      <c r="R4" s="7" t="s">
        <v>125</v>
      </c>
      <c r="S4" s="7" t="s">
        <v>126</v>
      </c>
      <c r="T4" s="7" t="s">
        <v>92</v>
      </c>
      <c r="U4" s="7"/>
      <c r="V4" s="7"/>
      <c r="W4" s="7"/>
      <c r="X4" s="7"/>
      <c r="Y4" s="7"/>
      <c r="Z4" s="7"/>
      <c r="AA4" s="7"/>
      <c r="AB4" s="7"/>
      <c r="AC4" s="8" t="s">
        <v>127</v>
      </c>
      <c r="AD4" s="7" t="s">
        <v>128</v>
      </c>
      <c r="AE4" s="7" t="s">
        <v>129</v>
      </c>
      <c r="AF4" s="7"/>
      <c r="AG4" s="7" t="s">
        <v>130</v>
      </c>
    </row>
    <row r="5" customFormat="false" ht="35.05" hidden="false" customHeight="false" outlineLevel="0" collapsed="false">
      <c r="A5" s="7" t="s">
        <v>131</v>
      </c>
      <c r="B5" s="7" t="s">
        <v>116</v>
      </c>
      <c r="C5" s="7" t="s">
        <v>77</v>
      </c>
      <c r="D5" s="7" t="s">
        <v>98</v>
      </c>
      <c r="E5" s="7" t="s">
        <v>132</v>
      </c>
      <c r="F5" s="7" t="s">
        <v>80</v>
      </c>
      <c r="G5" s="7" t="s">
        <v>81</v>
      </c>
      <c r="H5" s="7" t="s">
        <v>82</v>
      </c>
      <c r="I5" s="7" t="s">
        <v>83</v>
      </c>
      <c r="J5" s="7" t="s">
        <v>133</v>
      </c>
      <c r="K5" s="7" t="s">
        <v>85</v>
      </c>
      <c r="L5" s="7" t="s">
        <v>105</v>
      </c>
      <c r="M5" s="7" t="s">
        <v>87</v>
      </c>
      <c r="N5" s="7"/>
      <c r="O5" s="7"/>
      <c r="P5" s="7" t="s">
        <v>106</v>
      </c>
      <c r="Q5" s="7" t="s">
        <v>89</v>
      </c>
      <c r="R5" s="7" t="s">
        <v>134</v>
      </c>
      <c r="S5" s="7" t="s">
        <v>135</v>
      </c>
      <c r="T5" s="7" t="s">
        <v>109</v>
      </c>
      <c r="U5" s="7" t="s">
        <v>136</v>
      </c>
      <c r="V5" s="8" t="s">
        <v>137</v>
      </c>
      <c r="W5" s="7"/>
      <c r="X5" s="7"/>
      <c r="Y5" s="7"/>
      <c r="Z5" s="7"/>
      <c r="AA5" s="7"/>
      <c r="AB5" s="7"/>
      <c r="AC5" s="8" t="s">
        <v>137</v>
      </c>
      <c r="AD5" s="7" t="s">
        <v>138</v>
      </c>
      <c r="AE5" s="7"/>
      <c r="AF5" s="7"/>
      <c r="AG5" s="7" t="s">
        <v>139</v>
      </c>
    </row>
    <row r="6" customFormat="false" ht="68.65" hidden="false" customHeight="false" outlineLevel="0" collapsed="false">
      <c r="A6" s="7" t="s">
        <v>140</v>
      </c>
      <c r="B6" s="7" t="s">
        <v>76</v>
      </c>
      <c r="C6" s="7" t="s">
        <v>141</v>
      </c>
      <c r="D6" s="7" t="s">
        <v>78</v>
      </c>
      <c r="E6" s="7" t="s">
        <v>142</v>
      </c>
      <c r="F6" s="7" t="s">
        <v>80</v>
      </c>
      <c r="G6" s="7" t="s">
        <v>81</v>
      </c>
      <c r="H6" s="7" t="s">
        <v>82</v>
      </c>
      <c r="I6" s="7" t="s">
        <v>119</v>
      </c>
      <c r="J6" s="7" t="s">
        <v>143</v>
      </c>
      <c r="K6" s="7" t="s">
        <v>85</v>
      </c>
      <c r="L6" s="7" t="s">
        <v>105</v>
      </c>
      <c r="M6" s="7" t="s">
        <v>87</v>
      </c>
      <c r="N6" s="7"/>
      <c r="O6" s="7"/>
      <c r="P6" s="7" t="s">
        <v>88</v>
      </c>
      <c r="Q6" s="7" t="s">
        <v>144</v>
      </c>
      <c r="R6" s="7" t="s">
        <v>145</v>
      </c>
      <c r="S6" s="7" t="s">
        <v>146</v>
      </c>
      <c r="T6" s="7" t="s">
        <v>92</v>
      </c>
      <c r="U6" s="7"/>
      <c r="V6" s="7"/>
      <c r="W6" s="7"/>
      <c r="X6" s="7"/>
      <c r="Y6" s="7"/>
      <c r="Z6" s="7"/>
      <c r="AA6" s="7"/>
      <c r="AB6" s="7" t="s">
        <v>147</v>
      </c>
      <c r="AC6" s="7" t="s">
        <v>148</v>
      </c>
      <c r="AD6" s="7" t="s">
        <v>149</v>
      </c>
      <c r="AE6" s="7"/>
      <c r="AF6" s="7"/>
      <c r="AG6" s="7"/>
    </row>
    <row r="7" customFormat="false" ht="57.45" hidden="false" customHeight="false" outlineLevel="0" collapsed="false">
      <c r="A7" s="7" t="s">
        <v>150</v>
      </c>
      <c r="B7" s="7" t="s">
        <v>76</v>
      </c>
      <c r="C7" s="7" t="s">
        <v>141</v>
      </c>
      <c r="D7" s="7" t="s">
        <v>78</v>
      </c>
      <c r="E7" s="7" t="s">
        <v>151</v>
      </c>
      <c r="F7" s="7" t="s">
        <v>100</v>
      </c>
      <c r="G7" s="7" t="s">
        <v>81</v>
      </c>
      <c r="H7" s="7" t="s">
        <v>82</v>
      </c>
      <c r="I7" s="7" t="s">
        <v>119</v>
      </c>
      <c r="J7" s="7" t="s">
        <v>152</v>
      </c>
      <c r="K7" s="7" t="s">
        <v>85</v>
      </c>
      <c r="L7" s="7" t="s">
        <v>153</v>
      </c>
      <c r="M7" s="7" t="s">
        <v>87</v>
      </c>
      <c r="N7" s="7" t="s">
        <v>154</v>
      </c>
      <c r="O7" s="7" t="s">
        <v>155</v>
      </c>
      <c r="P7" s="7" t="s">
        <v>156</v>
      </c>
      <c r="Q7" s="7" t="s">
        <v>157</v>
      </c>
      <c r="R7" s="7" t="s">
        <v>158</v>
      </c>
      <c r="S7" s="7" t="s">
        <v>159</v>
      </c>
      <c r="T7" s="7" t="s">
        <v>109</v>
      </c>
      <c r="U7" s="7" t="s">
        <v>160</v>
      </c>
      <c r="V7" s="8" t="s">
        <v>161</v>
      </c>
      <c r="W7" s="7"/>
      <c r="X7" s="7"/>
      <c r="Y7" s="7"/>
      <c r="Z7" s="7"/>
      <c r="AA7" s="7"/>
      <c r="AB7" s="7" t="s">
        <v>162</v>
      </c>
      <c r="AC7" s="8" t="s">
        <v>163</v>
      </c>
      <c r="AD7" s="7"/>
      <c r="AE7" s="7" t="s">
        <v>164</v>
      </c>
      <c r="AF7" s="7"/>
      <c r="AG7" s="7" t="s">
        <v>165</v>
      </c>
    </row>
    <row r="8" customFormat="false" ht="57.45" hidden="false" customHeight="false" outlineLevel="0" collapsed="false">
      <c r="A8" s="7" t="s">
        <v>166</v>
      </c>
      <c r="B8" s="7" t="s">
        <v>76</v>
      </c>
      <c r="C8" s="7" t="s">
        <v>141</v>
      </c>
      <c r="D8" s="7" t="s">
        <v>78</v>
      </c>
      <c r="E8" s="7" t="s">
        <v>167</v>
      </c>
      <c r="F8" s="7" t="s">
        <v>80</v>
      </c>
      <c r="G8" s="7" t="s">
        <v>81</v>
      </c>
      <c r="H8" s="7" t="s">
        <v>82</v>
      </c>
      <c r="I8" s="7" t="s">
        <v>119</v>
      </c>
      <c r="J8" s="7" t="s">
        <v>168</v>
      </c>
      <c r="K8" s="7" t="s">
        <v>85</v>
      </c>
      <c r="L8" s="7" t="s">
        <v>105</v>
      </c>
      <c r="M8" s="7" t="s">
        <v>87</v>
      </c>
      <c r="N8" s="7"/>
      <c r="O8" s="7"/>
      <c r="P8" s="7" t="s">
        <v>88</v>
      </c>
      <c r="Q8" s="7" t="s">
        <v>144</v>
      </c>
      <c r="R8" s="7" t="s">
        <v>169</v>
      </c>
      <c r="S8" s="7"/>
      <c r="T8" s="7" t="s">
        <v>92</v>
      </c>
      <c r="U8" s="7"/>
      <c r="V8" s="7"/>
      <c r="W8" s="7"/>
      <c r="X8" s="7"/>
      <c r="Y8" s="7"/>
      <c r="Z8" s="7"/>
      <c r="AA8" s="7"/>
      <c r="AB8" s="7"/>
      <c r="AC8" s="8" t="s">
        <v>170</v>
      </c>
      <c r="AD8" s="7"/>
      <c r="AE8" s="7" t="s">
        <v>171</v>
      </c>
      <c r="AF8" s="7"/>
      <c r="AG8" s="7" t="s">
        <v>172</v>
      </c>
    </row>
    <row r="9" customFormat="false" ht="35.05" hidden="false" customHeight="false" outlineLevel="0" collapsed="false">
      <c r="A9" s="7" t="s">
        <v>173</v>
      </c>
      <c r="B9" s="7" t="s">
        <v>76</v>
      </c>
      <c r="C9" s="7" t="s">
        <v>141</v>
      </c>
      <c r="D9" s="7" t="s">
        <v>78</v>
      </c>
      <c r="E9" s="7" t="s">
        <v>174</v>
      </c>
      <c r="F9" s="7" t="s">
        <v>80</v>
      </c>
      <c r="G9" s="7" t="s">
        <v>81</v>
      </c>
      <c r="H9" s="7" t="s">
        <v>82</v>
      </c>
      <c r="I9" s="7" t="s">
        <v>119</v>
      </c>
      <c r="J9" s="7" t="s">
        <v>168</v>
      </c>
      <c r="K9" s="7" t="s">
        <v>85</v>
      </c>
      <c r="L9" s="7" t="s">
        <v>105</v>
      </c>
      <c r="M9" s="7" t="s">
        <v>87</v>
      </c>
      <c r="N9" s="7"/>
      <c r="O9" s="7"/>
      <c r="P9" s="7" t="s">
        <v>88</v>
      </c>
      <c r="Q9" s="7" t="s">
        <v>144</v>
      </c>
      <c r="R9" s="7" t="s">
        <v>175</v>
      </c>
      <c r="S9" s="7"/>
      <c r="T9" s="7" t="s">
        <v>92</v>
      </c>
      <c r="U9" s="7"/>
      <c r="V9" s="7"/>
      <c r="W9" s="7"/>
      <c r="X9" s="7"/>
      <c r="Y9" s="7"/>
      <c r="Z9" s="7"/>
      <c r="AA9" s="7"/>
      <c r="AB9" s="7"/>
      <c r="AC9" s="8" t="s">
        <v>176</v>
      </c>
      <c r="AD9" s="7" t="s">
        <v>177</v>
      </c>
      <c r="AE9" s="7" t="s">
        <v>178</v>
      </c>
      <c r="AF9" s="7"/>
      <c r="AG9" s="7" t="s">
        <v>179</v>
      </c>
    </row>
    <row r="10" customFormat="false" ht="46.25" hidden="false" customHeight="false" outlineLevel="0" collapsed="false">
      <c r="A10" s="7" t="s">
        <v>180</v>
      </c>
      <c r="B10" s="7" t="s">
        <v>76</v>
      </c>
      <c r="C10" s="7" t="s">
        <v>141</v>
      </c>
      <c r="D10" s="7" t="s">
        <v>78</v>
      </c>
      <c r="E10" s="7" t="s">
        <v>181</v>
      </c>
      <c r="F10" s="7" t="s">
        <v>182</v>
      </c>
      <c r="G10" s="7" t="s">
        <v>81</v>
      </c>
      <c r="H10" s="7" t="s">
        <v>82</v>
      </c>
      <c r="I10" s="7" t="s">
        <v>119</v>
      </c>
      <c r="J10" s="7" t="s">
        <v>183</v>
      </c>
      <c r="K10" s="7" t="s">
        <v>85</v>
      </c>
      <c r="L10" s="7" t="s">
        <v>184</v>
      </c>
      <c r="M10" s="7" t="s">
        <v>87</v>
      </c>
      <c r="N10" s="7"/>
      <c r="O10" s="7" t="s">
        <v>185</v>
      </c>
      <c r="P10" s="7" t="s">
        <v>186</v>
      </c>
      <c r="Q10" s="7" t="s">
        <v>187</v>
      </c>
      <c r="R10" s="7" t="s">
        <v>188</v>
      </c>
      <c r="S10" s="7"/>
      <c r="T10" s="7" t="s">
        <v>189</v>
      </c>
      <c r="U10" s="7"/>
      <c r="V10" s="7"/>
      <c r="W10" s="8" t="s">
        <v>190</v>
      </c>
      <c r="X10" s="7"/>
      <c r="Y10" s="7"/>
      <c r="Z10" s="7"/>
      <c r="AA10" s="7"/>
      <c r="AB10" s="7" t="s">
        <v>191</v>
      </c>
      <c r="AC10" s="8" t="s">
        <v>192</v>
      </c>
      <c r="AD10" s="7"/>
      <c r="AE10" s="7" t="s">
        <v>193</v>
      </c>
      <c r="AF10" s="7"/>
      <c r="AG10" s="7" t="s">
        <v>194</v>
      </c>
    </row>
    <row r="11" customFormat="false" ht="35.05" hidden="false" customHeight="false" outlineLevel="0" collapsed="false">
      <c r="A11" s="7" t="s">
        <v>195</v>
      </c>
      <c r="B11" s="7" t="s">
        <v>76</v>
      </c>
      <c r="C11" s="7" t="s">
        <v>141</v>
      </c>
      <c r="D11" s="7" t="s">
        <v>78</v>
      </c>
      <c r="E11" s="7" t="s">
        <v>196</v>
      </c>
      <c r="F11" s="7" t="s">
        <v>100</v>
      </c>
      <c r="G11" s="7" t="s">
        <v>81</v>
      </c>
      <c r="H11" s="7" t="s">
        <v>82</v>
      </c>
      <c r="I11" s="7" t="s">
        <v>119</v>
      </c>
      <c r="J11" s="7" t="s">
        <v>197</v>
      </c>
      <c r="K11" s="7" t="s">
        <v>85</v>
      </c>
      <c r="L11" s="7" t="s">
        <v>105</v>
      </c>
      <c r="M11" s="7" t="s">
        <v>87</v>
      </c>
      <c r="N11" s="7"/>
      <c r="O11" s="7"/>
      <c r="P11" s="7" t="s">
        <v>88</v>
      </c>
      <c r="Q11" s="7" t="s">
        <v>144</v>
      </c>
      <c r="R11" s="7" t="s">
        <v>198</v>
      </c>
      <c r="S11" s="7" t="s">
        <v>199</v>
      </c>
      <c r="T11" s="7" t="s">
        <v>109</v>
      </c>
      <c r="U11" s="7" t="s">
        <v>200</v>
      </c>
      <c r="V11" s="8" t="s">
        <v>201</v>
      </c>
      <c r="W11" s="7"/>
      <c r="X11" s="7"/>
      <c r="Y11" s="7"/>
      <c r="Z11" s="7"/>
      <c r="AA11" s="7"/>
      <c r="AB11" s="7"/>
      <c r="AC11" s="8" t="s">
        <v>202</v>
      </c>
      <c r="AD11" s="7" t="s">
        <v>177</v>
      </c>
      <c r="AE11" s="7"/>
      <c r="AF11" s="7"/>
      <c r="AG11" s="7" t="s">
        <v>96</v>
      </c>
    </row>
    <row r="12" customFormat="false" ht="35.05" hidden="false" customHeight="false" outlineLevel="0" collapsed="false">
      <c r="A12" s="7" t="s">
        <v>203</v>
      </c>
      <c r="B12" s="7" t="s">
        <v>76</v>
      </c>
      <c r="C12" s="7" t="s">
        <v>141</v>
      </c>
      <c r="D12" s="7" t="s">
        <v>78</v>
      </c>
      <c r="E12" s="7" t="s">
        <v>204</v>
      </c>
      <c r="F12" s="7" t="s">
        <v>80</v>
      </c>
      <c r="G12" s="7" t="s">
        <v>81</v>
      </c>
      <c r="H12" s="7" t="s">
        <v>82</v>
      </c>
      <c r="I12" s="7" t="s">
        <v>119</v>
      </c>
      <c r="J12" s="7" t="s">
        <v>168</v>
      </c>
      <c r="K12" s="7" t="s">
        <v>85</v>
      </c>
      <c r="L12" s="7" t="s">
        <v>205</v>
      </c>
      <c r="M12" s="7" t="s">
        <v>87</v>
      </c>
      <c r="N12" s="7"/>
      <c r="O12" s="7"/>
      <c r="P12" s="7" t="s">
        <v>206</v>
      </c>
      <c r="Q12" s="7" t="s">
        <v>207</v>
      </c>
      <c r="R12" s="7" t="s">
        <v>208</v>
      </c>
      <c r="S12" s="7"/>
      <c r="T12" s="7" t="s">
        <v>92</v>
      </c>
      <c r="U12" s="7"/>
      <c r="V12" s="7"/>
      <c r="W12" s="7"/>
      <c r="X12" s="7"/>
      <c r="Y12" s="7"/>
      <c r="Z12" s="7"/>
      <c r="AA12" s="7"/>
      <c r="AB12" s="7"/>
      <c r="AC12" s="8" t="s">
        <v>176</v>
      </c>
      <c r="AD12" s="7" t="s">
        <v>177</v>
      </c>
      <c r="AE12" s="7" t="s">
        <v>178</v>
      </c>
      <c r="AF12" s="7"/>
      <c r="AG12" s="7" t="s">
        <v>179</v>
      </c>
    </row>
    <row r="13" customFormat="false" ht="35.05" hidden="false" customHeight="false" outlineLevel="0" collapsed="false">
      <c r="A13" s="7" t="s">
        <v>209</v>
      </c>
      <c r="B13" s="7" t="s">
        <v>76</v>
      </c>
      <c r="C13" s="7" t="s">
        <v>141</v>
      </c>
      <c r="D13" s="7" t="s">
        <v>78</v>
      </c>
      <c r="E13" s="7" t="s">
        <v>210</v>
      </c>
      <c r="F13" s="7" t="s">
        <v>80</v>
      </c>
      <c r="G13" s="7" t="s">
        <v>81</v>
      </c>
      <c r="H13" s="7" t="s">
        <v>82</v>
      </c>
      <c r="I13" s="7" t="s">
        <v>119</v>
      </c>
      <c r="J13" s="7" t="s">
        <v>211</v>
      </c>
      <c r="K13" s="7" t="s">
        <v>85</v>
      </c>
      <c r="L13" s="7" t="s">
        <v>105</v>
      </c>
      <c r="M13" s="7" t="s">
        <v>87</v>
      </c>
      <c r="N13" s="7"/>
      <c r="O13" s="7"/>
      <c r="P13" s="7" t="s">
        <v>88</v>
      </c>
      <c r="Q13" s="7" t="s">
        <v>144</v>
      </c>
      <c r="R13" s="7" t="s">
        <v>212</v>
      </c>
      <c r="S13" s="7"/>
      <c r="T13" s="7" t="s">
        <v>92</v>
      </c>
      <c r="U13" s="7"/>
      <c r="V13" s="7"/>
      <c r="W13" s="7"/>
      <c r="X13" s="7"/>
      <c r="Y13" s="7"/>
      <c r="Z13" s="7"/>
      <c r="AA13" s="7"/>
      <c r="AB13" s="7"/>
      <c r="AC13" s="8" t="s">
        <v>213</v>
      </c>
      <c r="AD13" s="7" t="s">
        <v>177</v>
      </c>
      <c r="AE13" s="7"/>
      <c r="AF13" s="7"/>
      <c r="AG13" s="7" t="s">
        <v>214</v>
      </c>
    </row>
    <row r="14" customFormat="false" ht="46.25" hidden="false" customHeight="false" outlineLevel="0" collapsed="false">
      <c r="A14" s="7" t="s">
        <v>215</v>
      </c>
      <c r="B14" s="7" t="s">
        <v>76</v>
      </c>
      <c r="C14" s="7" t="s">
        <v>141</v>
      </c>
      <c r="D14" s="7" t="s">
        <v>78</v>
      </c>
      <c r="E14" s="7" t="s">
        <v>216</v>
      </c>
      <c r="F14" s="7" t="s">
        <v>100</v>
      </c>
      <c r="G14" s="7" t="s">
        <v>81</v>
      </c>
      <c r="H14" s="7" t="s">
        <v>82</v>
      </c>
      <c r="I14" s="7" t="s">
        <v>119</v>
      </c>
      <c r="J14" s="7" t="s">
        <v>217</v>
      </c>
      <c r="K14" s="7" t="s">
        <v>218</v>
      </c>
      <c r="L14" s="7" t="s">
        <v>219</v>
      </c>
      <c r="M14" s="7" t="s">
        <v>220</v>
      </c>
      <c r="N14" s="7" t="s">
        <v>221</v>
      </c>
      <c r="O14" s="7" t="s">
        <v>222</v>
      </c>
      <c r="P14" s="7" t="s">
        <v>223</v>
      </c>
      <c r="Q14" s="7" t="s">
        <v>224</v>
      </c>
      <c r="R14" s="7" t="s">
        <v>225</v>
      </c>
      <c r="S14" s="7" t="s">
        <v>226</v>
      </c>
      <c r="T14" s="7" t="s">
        <v>109</v>
      </c>
      <c r="U14" s="7" t="s">
        <v>227</v>
      </c>
      <c r="V14" s="8" t="s">
        <v>228</v>
      </c>
      <c r="W14" s="7"/>
      <c r="X14" s="7"/>
      <c r="Y14" s="7"/>
      <c r="Z14" s="7"/>
      <c r="AA14" s="7"/>
      <c r="AB14" s="7" t="s">
        <v>229</v>
      </c>
      <c r="AC14" s="8" t="s">
        <v>230</v>
      </c>
      <c r="AD14" s="7"/>
      <c r="AE14" s="7" t="s">
        <v>231</v>
      </c>
      <c r="AF14" s="7"/>
      <c r="AG14" s="7" t="s">
        <v>232</v>
      </c>
    </row>
    <row r="15" customFormat="false" ht="79.85" hidden="false" customHeight="false" outlineLevel="0" collapsed="false">
      <c r="A15" s="7" t="s">
        <v>233</v>
      </c>
      <c r="B15" s="7" t="s">
        <v>76</v>
      </c>
      <c r="C15" s="7" t="s">
        <v>141</v>
      </c>
      <c r="D15" s="7" t="s">
        <v>78</v>
      </c>
      <c r="E15" s="7" t="s">
        <v>234</v>
      </c>
      <c r="F15" s="7" t="s">
        <v>100</v>
      </c>
      <c r="G15" s="7" t="s">
        <v>81</v>
      </c>
      <c r="H15" s="7" t="s">
        <v>82</v>
      </c>
      <c r="I15" s="7" t="s">
        <v>119</v>
      </c>
      <c r="J15" s="7" t="s">
        <v>168</v>
      </c>
      <c r="K15" s="7" t="s">
        <v>235</v>
      </c>
      <c r="L15" s="7" t="s">
        <v>236</v>
      </c>
      <c r="M15" s="7" t="s">
        <v>237</v>
      </c>
      <c r="N15" s="7"/>
      <c r="O15" s="7" t="s">
        <v>238</v>
      </c>
      <c r="P15" s="7" t="s">
        <v>239</v>
      </c>
      <c r="Q15" s="7" t="s">
        <v>240</v>
      </c>
      <c r="R15" s="7" t="s">
        <v>241</v>
      </c>
      <c r="S15" s="7" t="s">
        <v>242</v>
      </c>
      <c r="T15" s="7" t="s">
        <v>92</v>
      </c>
      <c r="U15" s="7"/>
      <c r="V15" s="7"/>
      <c r="W15" s="7"/>
      <c r="X15" s="7"/>
      <c r="Y15" s="7"/>
      <c r="Z15" s="7"/>
      <c r="AA15" s="7"/>
      <c r="AB15" s="7" t="s">
        <v>243</v>
      </c>
      <c r="AC15" s="8" t="s">
        <v>244</v>
      </c>
      <c r="AD15" s="7" t="s">
        <v>245</v>
      </c>
      <c r="AE15" s="7" t="s">
        <v>246</v>
      </c>
      <c r="AF15" s="7"/>
      <c r="AG15" s="7" t="s">
        <v>247</v>
      </c>
    </row>
    <row r="16" customFormat="false" ht="35.05" hidden="false" customHeight="false" outlineLevel="0" collapsed="false">
      <c r="A16" s="7" t="s">
        <v>248</v>
      </c>
      <c r="B16" s="7" t="s">
        <v>76</v>
      </c>
      <c r="C16" s="7" t="s">
        <v>141</v>
      </c>
      <c r="D16" s="7" t="s">
        <v>78</v>
      </c>
      <c r="E16" s="7" t="s">
        <v>249</v>
      </c>
      <c r="F16" s="7" t="s">
        <v>80</v>
      </c>
      <c r="G16" s="7" t="s">
        <v>81</v>
      </c>
      <c r="H16" s="7" t="s">
        <v>82</v>
      </c>
      <c r="I16" s="7" t="s">
        <v>119</v>
      </c>
      <c r="J16" s="7" t="s">
        <v>250</v>
      </c>
      <c r="K16" s="7" t="s">
        <v>85</v>
      </c>
      <c r="L16" s="7" t="s">
        <v>105</v>
      </c>
      <c r="M16" s="7" t="s">
        <v>87</v>
      </c>
      <c r="N16" s="7"/>
      <c r="O16" s="7"/>
      <c r="P16" s="7" t="s">
        <v>251</v>
      </c>
      <c r="Q16" s="7" t="s">
        <v>144</v>
      </c>
      <c r="R16" s="7" t="s">
        <v>252</v>
      </c>
      <c r="S16" s="7"/>
      <c r="T16" s="7" t="s">
        <v>92</v>
      </c>
      <c r="U16" s="7"/>
      <c r="V16" s="7"/>
      <c r="W16" s="7"/>
      <c r="X16" s="7"/>
      <c r="Y16" s="7"/>
      <c r="Z16" s="7"/>
      <c r="AA16" s="7"/>
      <c r="AB16" s="7"/>
      <c r="AC16" s="8" t="s">
        <v>253</v>
      </c>
      <c r="AD16" s="7" t="s">
        <v>177</v>
      </c>
      <c r="AE16" s="7"/>
      <c r="AF16" s="7"/>
      <c r="AG16" s="7" t="s">
        <v>254</v>
      </c>
    </row>
    <row r="17" customFormat="false" ht="35.05" hidden="false" customHeight="false" outlineLevel="0" collapsed="false">
      <c r="A17" s="7" t="s">
        <v>255</v>
      </c>
      <c r="B17" s="7" t="s">
        <v>76</v>
      </c>
      <c r="C17" s="7" t="s">
        <v>141</v>
      </c>
      <c r="D17" s="7" t="s">
        <v>78</v>
      </c>
      <c r="E17" s="7" t="s">
        <v>256</v>
      </c>
      <c r="F17" s="7" t="s">
        <v>257</v>
      </c>
      <c r="G17" s="7" t="s">
        <v>81</v>
      </c>
      <c r="H17" s="7" t="s">
        <v>82</v>
      </c>
      <c r="I17" s="7" t="s">
        <v>83</v>
      </c>
      <c r="J17" s="7" t="s">
        <v>258</v>
      </c>
      <c r="K17" s="7" t="s">
        <v>85</v>
      </c>
      <c r="L17" s="7" t="s">
        <v>259</v>
      </c>
      <c r="M17" s="7" t="s">
        <v>260</v>
      </c>
      <c r="N17" s="7"/>
      <c r="O17" s="7" t="s">
        <v>261</v>
      </c>
      <c r="P17" s="7" t="s">
        <v>262</v>
      </c>
      <c r="Q17" s="7" t="s">
        <v>263</v>
      </c>
      <c r="R17" s="7" t="s">
        <v>264</v>
      </c>
      <c r="S17" s="7" t="s">
        <v>265</v>
      </c>
      <c r="T17" s="7" t="s">
        <v>109</v>
      </c>
      <c r="U17" s="7" t="s">
        <v>266</v>
      </c>
      <c r="V17" s="8" t="s">
        <v>267</v>
      </c>
      <c r="W17" s="7"/>
      <c r="X17" s="7"/>
      <c r="Y17" s="7"/>
      <c r="Z17" s="7"/>
      <c r="AA17" s="7"/>
      <c r="AB17" s="7" t="s">
        <v>268</v>
      </c>
      <c r="AC17" s="8" t="s">
        <v>269</v>
      </c>
      <c r="AD17" s="7"/>
      <c r="AE17" s="7"/>
      <c r="AF17" s="7"/>
      <c r="AG17" s="7" t="s">
        <v>270</v>
      </c>
    </row>
    <row r="18" customFormat="false" ht="102.2" hidden="false" customHeight="false" outlineLevel="0" collapsed="false">
      <c r="A18" s="7" t="s">
        <v>271</v>
      </c>
      <c r="B18" s="7" t="s">
        <v>76</v>
      </c>
      <c r="C18" s="7" t="s">
        <v>141</v>
      </c>
      <c r="D18" s="7" t="s">
        <v>78</v>
      </c>
      <c r="E18" s="7" t="s">
        <v>272</v>
      </c>
      <c r="F18" s="7" t="s">
        <v>80</v>
      </c>
      <c r="G18" s="7" t="s">
        <v>81</v>
      </c>
      <c r="H18" s="7" t="s">
        <v>82</v>
      </c>
      <c r="I18" s="7" t="s">
        <v>83</v>
      </c>
      <c r="J18" s="7" t="s">
        <v>273</v>
      </c>
      <c r="K18" s="7" t="s">
        <v>85</v>
      </c>
      <c r="L18" s="7" t="s">
        <v>274</v>
      </c>
      <c r="M18" s="7" t="s">
        <v>87</v>
      </c>
      <c r="N18" s="7" t="s">
        <v>275</v>
      </c>
      <c r="O18" s="7" t="s">
        <v>276</v>
      </c>
      <c r="P18" s="7" t="s">
        <v>277</v>
      </c>
      <c r="Q18" s="7" t="s">
        <v>278</v>
      </c>
      <c r="R18" s="7" t="s">
        <v>279</v>
      </c>
      <c r="S18" s="7" t="s">
        <v>280</v>
      </c>
      <c r="T18" s="7" t="s">
        <v>109</v>
      </c>
      <c r="U18" s="7" t="s">
        <v>281</v>
      </c>
      <c r="V18" s="8" t="s">
        <v>282</v>
      </c>
      <c r="W18" s="7"/>
      <c r="X18" s="7"/>
      <c r="Y18" s="7"/>
      <c r="Z18" s="7"/>
      <c r="AA18" s="7"/>
      <c r="AB18" s="7" t="s">
        <v>283</v>
      </c>
      <c r="AC18" s="8" t="s">
        <v>284</v>
      </c>
      <c r="AD18" s="7"/>
      <c r="AE18" s="7" t="s">
        <v>285</v>
      </c>
      <c r="AF18" s="7"/>
      <c r="AG18" s="7" t="s">
        <v>286</v>
      </c>
    </row>
    <row r="19" customFormat="false" ht="35.05" hidden="false" customHeight="false" outlineLevel="0" collapsed="false">
      <c r="A19" s="7" t="s">
        <v>287</v>
      </c>
      <c r="B19" s="7" t="s">
        <v>76</v>
      </c>
      <c r="C19" s="7" t="s">
        <v>141</v>
      </c>
      <c r="D19" s="7" t="s">
        <v>78</v>
      </c>
      <c r="E19" s="7" t="s">
        <v>288</v>
      </c>
      <c r="F19" s="7" t="s">
        <v>80</v>
      </c>
      <c r="G19" s="7" t="s">
        <v>81</v>
      </c>
      <c r="H19" s="7" t="s">
        <v>289</v>
      </c>
      <c r="I19" s="7" t="s">
        <v>290</v>
      </c>
      <c r="J19" s="7"/>
      <c r="K19" s="7" t="s">
        <v>291</v>
      </c>
      <c r="L19" s="7" t="s">
        <v>292</v>
      </c>
      <c r="M19" s="7" t="s">
        <v>293</v>
      </c>
      <c r="N19" s="7"/>
      <c r="O19" s="7" t="s">
        <v>294</v>
      </c>
      <c r="P19" s="7" t="s">
        <v>295</v>
      </c>
      <c r="Q19" s="7" t="s">
        <v>296</v>
      </c>
      <c r="R19" s="7" t="s">
        <v>297</v>
      </c>
      <c r="S19" s="7" t="s">
        <v>298</v>
      </c>
      <c r="T19" s="7" t="s">
        <v>92</v>
      </c>
      <c r="U19" s="7" t="s">
        <v>299</v>
      </c>
      <c r="V19" s="7"/>
      <c r="W19" s="7"/>
      <c r="X19" s="7"/>
      <c r="Y19" s="7"/>
      <c r="Z19" s="7"/>
      <c r="AA19" s="7"/>
      <c r="AB19" s="7" t="s">
        <v>300</v>
      </c>
      <c r="AC19" s="8" t="s">
        <v>301</v>
      </c>
      <c r="AD19" s="7"/>
      <c r="AE19" s="7" t="s">
        <v>302</v>
      </c>
      <c r="AF19" s="7"/>
      <c r="AG19" s="7" t="s">
        <v>303</v>
      </c>
    </row>
    <row r="20" customFormat="false" ht="35.05" hidden="false" customHeight="false" outlineLevel="0" collapsed="false">
      <c r="A20" s="7" t="s">
        <v>304</v>
      </c>
      <c r="B20" s="7" t="s">
        <v>76</v>
      </c>
      <c r="C20" s="7" t="s">
        <v>141</v>
      </c>
      <c r="D20" s="7" t="s">
        <v>78</v>
      </c>
      <c r="E20" s="7" t="s">
        <v>305</v>
      </c>
      <c r="F20" s="7" t="s">
        <v>100</v>
      </c>
      <c r="G20" s="7" t="s">
        <v>306</v>
      </c>
      <c r="H20" s="7" t="s">
        <v>307</v>
      </c>
      <c r="I20" s="7" t="s">
        <v>308</v>
      </c>
      <c r="J20" s="7" t="s">
        <v>309</v>
      </c>
      <c r="K20" s="7" t="s">
        <v>85</v>
      </c>
      <c r="L20" s="7" t="s">
        <v>310</v>
      </c>
      <c r="M20" s="7" t="s">
        <v>87</v>
      </c>
      <c r="N20" s="7"/>
      <c r="O20" s="7"/>
      <c r="P20" s="7" t="s">
        <v>88</v>
      </c>
      <c r="Q20" s="7" t="s">
        <v>144</v>
      </c>
      <c r="R20" s="7" t="s">
        <v>311</v>
      </c>
      <c r="S20" s="7" t="s">
        <v>312</v>
      </c>
      <c r="T20" s="7" t="s">
        <v>109</v>
      </c>
      <c r="U20" s="7" t="s">
        <v>313</v>
      </c>
      <c r="V20" s="8" t="s">
        <v>314</v>
      </c>
      <c r="W20" s="7"/>
      <c r="X20" s="7"/>
      <c r="Y20" s="7"/>
      <c r="Z20" s="7"/>
      <c r="AA20" s="7"/>
      <c r="AB20" s="7"/>
      <c r="AC20" s="8" t="s">
        <v>314</v>
      </c>
      <c r="AD20" s="7" t="s">
        <v>315</v>
      </c>
      <c r="AE20" s="7"/>
      <c r="AF20" s="7"/>
      <c r="AG20" s="7" t="s">
        <v>96</v>
      </c>
    </row>
    <row r="21" customFormat="false" ht="102.2" hidden="false" customHeight="false" outlineLevel="0" collapsed="false">
      <c r="A21" s="7" t="s">
        <v>316</v>
      </c>
      <c r="B21" s="7" t="s">
        <v>76</v>
      </c>
      <c r="C21" s="7" t="s">
        <v>141</v>
      </c>
      <c r="D21" s="7" t="s">
        <v>78</v>
      </c>
      <c r="E21" s="7" t="s">
        <v>317</v>
      </c>
      <c r="F21" s="7" t="s">
        <v>100</v>
      </c>
      <c r="G21" s="7" t="s">
        <v>101</v>
      </c>
      <c r="H21" s="7" t="s">
        <v>318</v>
      </c>
      <c r="I21" s="7" t="s">
        <v>319</v>
      </c>
      <c r="J21" s="7" t="s">
        <v>320</v>
      </c>
      <c r="K21" s="7" t="s">
        <v>85</v>
      </c>
      <c r="L21" s="7" t="s">
        <v>321</v>
      </c>
      <c r="M21" s="7" t="s">
        <v>87</v>
      </c>
      <c r="N21" s="7" t="s">
        <v>322</v>
      </c>
      <c r="O21" s="7" t="s">
        <v>323</v>
      </c>
      <c r="P21" s="7" t="s">
        <v>324</v>
      </c>
      <c r="Q21" s="7" t="s">
        <v>325</v>
      </c>
      <c r="R21" s="7" t="s">
        <v>326</v>
      </c>
      <c r="S21" s="7" t="s">
        <v>327</v>
      </c>
      <c r="T21" s="7" t="s">
        <v>109</v>
      </c>
      <c r="U21" s="7" t="s">
        <v>328</v>
      </c>
      <c r="V21" s="8" t="s">
        <v>329</v>
      </c>
      <c r="W21" s="7"/>
      <c r="X21" s="7"/>
      <c r="Y21" s="7"/>
      <c r="Z21" s="7"/>
      <c r="AA21" s="7"/>
      <c r="AB21" s="7"/>
      <c r="AC21" s="8" t="s">
        <v>330</v>
      </c>
      <c r="AD21" s="7" t="s">
        <v>331</v>
      </c>
      <c r="AE21" s="7" t="s">
        <v>332</v>
      </c>
      <c r="AF21" s="7"/>
      <c r="AG21" s="7" t="s">
        <v>333</v>
      </c>
    </row>
    <row r="22" customFormat="false" ht="124.6" hidden="false" customHeight="false" outlineLevel="0" collapsed="false">
      <c r="A22" s="7" t="s">
        <v>334</v>
      </c>
      <c r="B22" s="7" t="s">
        <v>76</v>
      </c>
      <c r="C22" s="7" t="s">
        <v>141</v>
      </c>
      <c r="D22" s="7" t="s">
        <v>78</v>
      </c>
      <c r="E22" s="7" t="s">
        <v>335</v>
      </c>
      <c r="F22" s="7" t="s">
        <v>100</v>
      </c>
      <c r="G22" s="7" t="s">
        <v>101</v>
      </c>
      <c r="H22" s="7" t="s">
        <v>318</v>
      </c>
      <c r="I22" s="7" t="s">
        <v>319</v>
      </c>
      <c r="J22" s="7" t="s">
        <v>336</v>
      </c>
      <c r="K22" s="7" t="s">
        <v>337</v>
      </c>
      <c r="L22" s="7" t="s">
        <v>338</v>
      </c>
      <c r="M22" s="7" t="s">
        <v>87</v>
      </c>
      <c r="N22" s="7" t="s">
        <v>339</v>
      </c>
      <c r="O22" s="7" t="s">
        <v>340</v>
      </c>
      <c r="P22" s="7" t="s">
        <v>341</v>
      </c>
      <c r="Q22" s="7" t="s">
        <v>342</v>
      </c>
      <c r="R22" s="7" t="s">
        <v>343</v>
      </c>
      <c r="S22" s="7" t="s">
        <v>344</v>
      </c>
      <c r="T22" s="7" t="s">
        <v>92</v>
      </c>
      <c r="U22" s="7"/>
      <c r="V22" s="7"/>
      <c r="W22" s="7"/>
      <c r="X22" s="7"/>
      <c r="Y22" s="7"/>
      <c r="Z22" s="7"/>
      <c r="AA22" s="7"/>
      <c r="AB22" s="7" t="s">
        <v>345</v>
      </c>
      <c r="AC22" s="8" t="s">
        <v>346</v>
      </c>
      <c r="AD22" s="7" t="s">
        <v>347</v>
      </c>
      <c r="AE22" s="7" t="s">
        <v>348</v>
      </c>
      <c r="AF22" s="7"/>
      <c r="AG22" s="7" t="s">
        <v>349</v>
      </c>
    </row>
    <row r="23" customFormat="false" ht="46.25" hidden="false" customHeight="false" outlineLevel="0" collapsed="false">
      <c r="A23" s="7" t="s">
        <v>350</v>
      </c>
      <c r="B23" s="7" t="s">
        <v>76</v>
      </c>
      <c r="C23" s="7" t="s">
        <v>141</v>
      </c>
      <c r="D23" s="7" t="s">
        <v>78</v>
      </c>
      <c r="E23" s="7" t="s">
        <v>351</v>
      </c>
      <c r="F23" s="7" t="s">
        <v>80</v>
      </c>
      <c r="G23" s="7" t="s">
        <v>101</v>
      </c>
      <c r="H23" s="7" t="s">
        <v>318</v>
      </c>
      <c r="I23" s="7" t="s">
        <v>319</v>
      </c>
      <c r="J23" s="7" t="s">
        <v>352</v>
      </c>
      <c r="K23" s="7" t="s">
        <v>85</v>
      </c>
      <c r="L23" s="7" t="s">
        <v>353</v>
      </c>
      <c r="M23" s="7" t="s">
        <v>87</v>
      </c>
      <c r="N23" s="7" t="s">
        <v>354</v>
      </c>
      <c r="O23" s="7" t="s">
        <v>355</v>
      </c>
      <c r="P23" s="7" t="s">
        <v>356</v>
      </c>
      <c r="Q23" s="7" t="s">
        <v>357</v>
      </c>
      <c r="R23" s="7" t="s">
        <v>358</v>
      </c>
      <c r="S23" s="7" t="s">
        <v>359</v>
      </c>
      <c r="T23" s="7" t="s">
        <v>92</v>
      </c>
      <c r="U23" s="7"/>
      <c r="V23" s="7"/>
      <c r="W23" s="7"/>
      <c r="X23" s="7"/>
      <c r="Y23" s="7"/>
      <c r="Z23" s="7"/>
      <c r="AA23" s="8" t="s">
        <v>360</v>
      </c>
      <c r="AB23" s="7" t="s">
        <v>361</v>
      </c>
      <c r="AC23" s="8" t="s">
        <v>362</v>
      </c>
      <c r="AD23" s="7" t="s">
        <v>245</v>
      </c>
      <c r="AE23" s="7" t="s">
        <v>363</v>
      </c>
      <c r="AF23" s="7"/>
      <c r="AG23" s="7" t="s">
        <v>364</v>
      </c>
    </row>
    <row r="24" customFormat="false" ht="79.85" hidden="false" customHeight="false" outlineLevel="0" collapsed="false">
      <c r="A24" s="7" t="s">
        <v>365</v>
      </c>
      <c r="B24" s="7" t="s">
        <v>76</v>
      </c>
      <c r="C24" s="7" t="s">
        <v>141</v>
      </c>
      <c r="D24" s="7" t="s">
        <v>78</v>
      </c>
      <c r="E24" s="7" t="s">
        <v>366</v>
      </c>
      <c r="F24" s="7" t="s">
        <v>100</v>
      </c>
      <c r="G24" s="7" t="s">
        <v>101</v>
      </c>
      <c r="H24" s="7" t="s">
        <v>102</v>
      </c>
      <c r="I24" s="7" t="s">
        <v>103</v>
      </c>
      <c r="J24" s="7" t="s">
        <v>367</v>
      </c>
      <c r="K24" s="7" t="s">
        <v>85</v>
      </c>
      <c r="L24" s="7" t="s">
        <v>368</v>
      </c>
      <c r="M24" s="7" t="s">
        <v>87</v>
      </c>
      <c r="N24" s="7"/>
      <c r="O24" s="7"/>
      <c r="P24" s="7" t="s">
        <v>369</v>
      </c>
      <c r="Q24" s="7" t="s">
        <v>370</v>
      </c>
      <c r="R24" s="7" t="s">
        <v>371</v>
      </c>
      <c r="S24" s="7" t="s">
        <v>372</v>
      </c>
      <c r="T24" s="7" t="s">
        <v>92</v>
      </c>
      <c r="U24" s="7"/>
      <c r="V24" s="7"/>
      <c r="W24" s="7"/>
      <c r="X24" s="7"/>
      <c r="Y24" s="7"/>
      <c r="Z24" s="7"/>
      <c r="AA24" s="7"/>
      <c r="AB24" s="7" t="s">
        <v>373</v>
      </c>
      <c r="AC24" s="8" t="s">
        <v>374</v>
      </c>
      <c r="AD24" s="7"/>
      <c r="AE24" s="7" t="s">
        <v>375</v>
      </c>
      <c r="AF24" s="7"/>
      <c r="AG24" s="7" t="s">
        <v>376</v>
      </c>
    </row>
    <row r="25" customFormat="false" ht="35.05" hidden="false" customHeight="false" outlineLevel="0" collapsed="false">
      <c r="A25" s="7" t="s">
        <v>377</v>
      </c>
      <c r="B25" s="7" t="s">
        <v>76</v>
      </c>
      <c r="C25" s="7" t="s">
        <v>141</v>
      </c>
      <c r="D25" s="7" t="s">
        <v>78</v>
      </c>
      <c r="E25" s="7" t="s">
        <v>378</v>
      </c>
      <c r="F25" s="7" t="s">
        <v>379</v>
      </c>
      <c r="G25" s="7" t="s">
        <v>101</v>
      </c>
      <c r="H25" s="7" t="s">
        <v>102</v>
      </c>
      <c r="I25" s="7" t="s">
        <v>103</v>
      </c>
      <c r="J25" s="7" t="s">
        <v>380</v>
      </c>
      <c r="K25" s="7" t="s">
        <v>85</v>
      </c>
      <c r="L25" s="7" t="s">
        <v>381</v>
      </c>
      <c r="M25" s="7" t="s">
        <v>87</v>
      </c>
      <c r="N25" s="7"/>
      <c r="O25" s="7"/>
      <c r="P25" s="7" t="s">
        <v>88</v>
      </c>
      <c r="Q25" s="7" t="s">
        <v>144</v>
      </c>
      <c r="R25" s="7" t="s">
        <v>382</v>
      </c>
      <c r="S25" s="7"/>
      <c r="T25" s="7" t="s">
        <v>92</v>
      </c>
      <c r="U25" s="7"/>
      <c r="V25" s="7"/>
      <c r="W25" s="7"/>
      <c r="X25" s="7"/>
      <c r="Y25" s="7"/>
      <c r="Z25" s="7"/>
      <c r="AA25" s="7"/>
      <c r="AB25" s="7"/>
      <c r="AC25" s="8" t="s">
        <v>383</v>
      </c>
      <c r="AD25" s="7"/>
      <c r="AE25" s="7" t="s">
        <v>384</v>
      </c>
      <c r="AF25" s="7"/>
      <c r="AG25" s="7" t="s">
        <v>385</v>
      </c>
    </row>
    <row r="26" customFormat="false" ht="79.85" hidden="false" customHeight="false" outlineLevel="0" collapsed="false">
      <c r="A26" s="7" t="s">
        <v>386</v>
      </c>
      <c r="B26" s="7" t="s">
        <v>76</v>
      </c>
      <c r="C26" s="7" t="s">
        <v>141</v>
      </c>
      <c r="D26" s="7" t="s">
        <v>78</v>
      </c>
      <c r="E26" s="7" t="s">
        <v>387</v>
      </c>
      <c r="F26" s="7" t="s">
        <v>80</v>
      </c>
      <c r="G26" s="7" t="s">
        <v>101</v>
      </c>
      <c r="H26" s="7" t="s">
        <v>102</v>
      </c>
      <c r="I26" s="7" t="s">
        <v>103</v>
      </c>
      <c r="J26" s="7" t="s">
        <v>388</v>
      </c>
      <c r="K26" s="7" t="s">
        <v>85</v>
      </c>
      <c r="L26" s="7" t="s">
        <v>389</v>
      </c>
      <c r="M26" s="7" t="s">
        <v>87</v>
      </c>
      <c r="N26" s="7" t="s">
        <v>390</v>
      </c>
      <c r="O26" s="7" t="s">
        <v>391</v>
      </c>
      <c r="P26" s="7" t="s">
        <v>392</v>
      </c>
      <c r="Q26" s="7" t="s">
        <v>393</v>
      </c>
      <c r="R26" s="7" t="s">
        <v>394</v>
      </c>
      <c r="S26" s="7" t="s">
        <v>395</v>
      </c>
      <c r="T26" s="7" t="s">
        <v>109</v>
      </c>
      <c r="U26" s="7" t="s">
        <v>396</v>
      </c>
      <c r="V26" s="8" t="s">
        <v>397</v>
      </c>
      <c r="W26" s="7"/>
      <c r="X26" s="7"/>
      <c r="Y26" s="7"/>
      <c r="Z26" s="7"/>
      <c r="AA26" s="7"/>
      <c r="AB26" s="7"/>
      <c r="AC26" s="8" t="s">
        <v>398</v>
      </c>
      <c r="AD26" s="7"/>
      <c r="AE26" s="7" t="s">
        <v>399</v>
      </c>
      <c r="AF26" s="7"/>
      <c r="AG26" s="7" t="s">
        <v>400</v>
      </c>
    </row>
    <row r="27" customFormat="false" ht="57.45" hidden="false" customHeight="false" outlineLevel="0" collapsed="false">
      <c r="A27" s="7" t="s">
        <v>401</v>
      </c>
      <c r="B27" s="7" t="s">
        <v>76</v>
      </c>
      <c r="C27" s="7" t="s">
        <v>141</v>
      </c>
      <c r="D27" s="7" t="s">
        <v>78</v>
      </c>
      <c r="E27" s="7" t="s">
        <v>402</v>
      </c>
      <c r="F27" s="7" t="s">
        <v>182</v>
      </c>
      <c r="G27" s="7" t="s">
        <v>101</v>
      </c>
      <c r="H27" s="7" t="s">
        <v>102</v>
      </c>
      <c r="I27" s="7" t="s">
        <v>103</v>
      </c>
      <c r="J27" s="7" t="s">
        <v>403</v>
      </c>
      <c r="K27" s="7" t="s">
        <v>404</v>
      </c>
      <c r="L27" s="7" t="s">
        <v>405</v>
      </c>
      <c r="M27" s="7" t="s">
        <v>406</v>
      </c>
      <c r="N27" s="7" t="s">
        <v>407</v>
      </c>
      <c r="O27" s="7" t="s">
        <v>408</v>
      </c>
      <c r="P27" s="7" t="s">
        <v>409</v>
      </c>
      <c r="Q27" s="7" t="s">
        <v>410</v>
      </c>
      <c r="R27" s="7" t="s">
        <v>411</v>
      </c>
      <c r="S27" s="7" t="s">
        <v>412</v>
      </c>
      <c r="T27" s="7" t="s">
        <v>189</v>
      </c>
      <c r="U27" s="7"/>
      <c r="V27" s="7"/>
      <c r="W27" s="8" t="s">
        <v>413</v>
      </c>
      <c r="X27" s="7"/>
      <c r="Y27" s="7"/>
      <c r="Z27" s="7"/>
      <c r="AA27" s="7"/>
      <c r="AB27" s="7" t="s">
        <v>414</v>
      </c>
      <c r="AC27" s="8" t="s">
        <v>415</v>
      </c>
      <c r="AD27" s="7" t="s">
        <v>245</v>
      </c>
      <c r="AE27" s="7" t="s">
        <v>416</v>
      </c>
      <c r="AF27" s="7" t="s">
        <v>417</v>
      </c>
      <c r="AG27" s="7" t="s">
        <v>418</v>
      </c>
    </row>
    <row r="28" customFormat="false" ht="57.45" hidden="false" customHeight="false" outlineLevel="0" collapsed="false">
      <c r="A28" s="7" t="s">
        <v>419</v>
      </c>
      <c r="B28" s="7" t="s">
        <v>76</v>
      </c>
      <c r="C28" s="7" t="s">
        <v>141</v>
      </c>
      <c r="D28" s="7" t="s">
        <v>78</v>
      </c>
      <c r="E28" s="7" t="s">
        <v>420</v>
      </c>
      <c r="F28" s="7" t="s">
        <v>182</v>
      </c>
      <c r="G28" s="7" t="s">
        <v>101</v>
      </c>
      <c r="H28" s="7" t="s">
        <v>102</v>
      </c>
      <c r="I28" s="7" t="s">
        <v>103</v>
      </c>
      <c r="J28" s="7" t="s">
        <v>421</v>
      </c>
      <c r="K28" s="7" t="s">
        <v>85</v>
      </c>
      <c r="L28" s="7" t="s">
        <v>105</v>
      </c>
      <c r="M28" s="7" t="s">
        <v>87</v>
      </c>
      <c r="N28" s="7"/>
      <c r="O28" s="7"/>
      <c r="P28" s="7" t="s">
        <v>88</v>
      </c>
      <c r="Q28" s="7" t="s">
        <v>144</v>
      </c>
      <c r="R28" s="7" t="s">
        <v>422</v>
      </c>
      <c r="S28" s="7" t="s">
        <v>423</v>
      </c>
      <c r="T28" s="7" t="s">
        <v>92</v>
      </c>
      <c r="U28" s="7"/>
      <c r="V28" s="7"/>
      <c r="W28" s="7"/>
      <c r="X28" s="7"/>
      <c r="Y28" s="7"/>
      <c r="Z28" s="7"/>
      <c r="AA28" s="7"/>
      <c r="AB28" s="7"/>
      <c r="AC28" s="8" t="s">
        <v>424</v>
      </c>
      <c r="AD28" s="7" t="s">
        <v>425</v>
      </c>
      <c r="AE28" s="7"/>
      <c r="AF28" s="7"/>
      <c r="AG28" s="7" t="s">
        <v>96</v>
      </c>
    </row>
    <row r="29" customFormat="false" ht="113.4" hidden="false" customHeight="false" outlineLevel="0" collapsed="false">
      <c r="A29" s="7" t="s">
        <v>426</v>
      </c>
      <c r="B29" s="7" t="s">
        <v>76</v>
      </c>
      <c r="C29" s="7" t="s">
        <v>141</v>
      </c>
      <c r="D29" s="7" t="s">
        <v>78</v>
      </c>
      <c r="E29" s="7" t="s">
        <v>427</v>
      </c>
      <c r="F29" s="7" t="s">
        <v>80</v>
      </c>
      <c r="G29" s="7" t="s">
        <v>101</v>
      </c>
      <c r="H29" s="7" t="s">
        <v>428</v>
      </c>
      <c r="I29" s="7" t="s">
        <v>429</v>
      </c>
      <c r="J29" s="7" t="s">
        <v>430</v>
      </c>
      <c r="K29" s="7" t="s">
        <v>85</v>
      </c>
      <c r="L29" s="7" t="s">
        <v>431</v>
      </c>
      <c r="M29" s="7" t="s">
        <v>432</v>
      </c>
      <c r="N29" s="7" t="s">
        <v>433</v>
      </c>
      <c r="O29" s="7" t="s">
        <v>434</v>
      </c>
      <c r="P29" s="7" t="s">
        <v>435</v>
      </c>
      <c r="Q29" s="7" t="s">
        <v>436</v>
      </c>
      <c r="R29" s="7" t="s">
        <v>437</v>
      </c>
      <c r="S29" s="7" t="s">
        <v>438</v>
      </c>
      <c r="T29" s="7" t="s">
        <v>109</v>
      </c>
      <c r="U29" s="7" t="s">
        <v>439</v>
      </c>
      <c r="V29" s="8" t="s">
        <v>440</v>
      </c>
      <c r="W29" s="7"/>
      <c r="X29" s="7"/>
      <c r="Y29" s="7"/>
      <c r="Z29" s="7"/>
      <c r="AA29" s="7"/>
      <c r="AB29" s="7" t="s">
        <v>441</v>
      </c>
      <c r="AC29" s="8" t="s">
        <v>442</v>
      </c>
      <c r="AD29" s="7"/>
      <c r="AE29" s="7" t="s">
        <v>443</v>
      </c>
      <c r="AF29" s="7"/>
      <c r="AG29" s="7" t="s">
        <v>444</v>
      </c>
    </row>
    <row r="30" customFormat="false" ht="57.45" hidden="false" customHeight="false" outlineLevel="0" collapsed="false">
      <c r="A30" s="7" t="s">
        <v>445</v>
      </c>
      <c r="B30" s="7" t="s">
        <v>76</v>
      </c>
      <c r="C30" s="7" t="s">
        <v>141</v>
      </c>
      <c r="D30" s="7" t="s">
        <v>78</v>
      </c>
      <c r="E30" s="7" t="s">
        <v>446</v>
      </c>
      <c r="F30" s="7" t="s">
        <v>80</v>
      </c>
      <c r="G30" s="7" t="s">
        <v>101</v>
      </c>
      <c r="H30" s="7" t="s">
        <v>428</v>
      </c>
      <c r="I30" s="7" t="s">
        <v>429</v>
      </c>
      <c r="J30" s="7"/>
      <c r="K30" s="7" t="s">
        <v>85</v>
      </c>
      <c r="L30" s="7" t="s">
        <v>447</v>
      </c>
      <c r="M30" s="7" t="s">
        <v>87</v>
      </c>
      <c r="N30" s="7"/>
      <c r="O30" s="7" t="s">
        <v>448</v>
      </c>
      <c r="P30" s="7" t="s">
        <v>449</v>
      </c>
      <c r="Q30" s="7" t="s">
        <v>450</v>
      </c>
      <c r="R30" s="7" t="s">
        <v>451</v>
      </c>
      <c r="S30" s="7" t="s">
        <v>452</v>
      </c>
      <c r="T30" s="7" t="s">
        <v>92</v>
      </c>
      <c r="U30" s="7"/>
      <c r="V30" s="7"/>
      <c r="W30" s="7"/>
      <c r="X30" s="7"/>
      <c r="Y30" s="7"/>
      <c r="Z30" s="7"/>
      <c r="AA30" s="7"/>
      <c r="AB30" s="7" t="s">
        <v>453</v>
      </c>
      <c r="AC30" s="8" t="s">
        <v>454</v>
      </c>
      <c r="AD30" s="7" t="s">
        <v>245</v>
      </c>
      <c r="AE30" s="7" t="s">
        <v>455</v>
      </c>
      <c r="AF30" s="7"/>
      <c r="AG30" s="7" t="s">
        <v>456</v>
      </c>
    </row>
    <row r="31" customFormat="false" ht="35.05" hidden="false" customHeight="false" outlineLevel="0" collapsed="false">
      <c r="A31" s="7" t="s">
        <v>457</v>
      </c>
      <c r="B31" s="7" t="s">
        <v>76</v>
      </c>
      <c r="C31" s="7" t="s">
        <v>141</v>
      </c>
      <c r="D31" s="7" t="s">
        <v>78</v>
      </c>
      <c r="E31" s="7" t="s">
        <v>458</v>
      </c>
      <c r="F31" s="7" t="s">
        <v>379</v>
      </c>
      <c r="G31" s="7" t="s">
        <v>101</v>
      </c>
      <c r="H31" s="7" t="s">
        <v>459</v>
      </c>
      <c r="I31" s="7" t="s">
        <v>460</v>
      </c>
      <c r="J31" s="7"/>
      <c r="K31" s="7" t="s">
        <v>85</v>
      </c>
      <c r="L31" s="7" t="s">
        <v>105</v>
      </c>
      <c r="M31" s="7" t="s">
        <v>87</v>
      </c>
      <c r="N31" s="7"/>
      <c r="O31" s="7"/>
      <c r="P31" s="7" t="s">
        <v>88</v>
      </c>
      <c r="Q31" s="7" t="s">
        <v>144</v>
      </c>
      <c r="R31" s="7" t="s">
        <v>461</v>
      </c>
      <c r="S31" s="7"/>
      <c r="T31" s="7" t="s">
        <v>92</v>
      </c>
      <c r="U31" s="7"/>
      <c r="V31" s="7"/>
      <c r="W31" s="7"/>
      <c r="X31" s="7"/>
      <c r="Y31" s="7"/>
      <c r="Z31" s="7"/>
      <c r="AA31" s="7"/>
      <c r="AB31" s="7"/>
      <c r="AC31" s="8" t="s">
        <v>462</v>
      </c>
      <c r="AD31" s="7" t="s">
        <v>177</v>
      </c>
      <c r="AE31" s="7"/>
      <c r="AF31" s="7"/>
      <c r="AG31" s="7" t="s">
        <v>96</v>
      </c>
    </row>
    <row r="32" customFormat="false" ht="79.85" hidden="false" customHeight="false" outlineLevel="0" collapsed="false">
      <c r="A32" s="7" t="s">
        <v>463</v>
      </c>
      <c r="B32" s="7" t="s">
        <v>76</v>
      </c>
      <c r="C32" s="7" t="s">
        <v>141</v>
      </c>
      <c r="D32" s="7" t="s">
        <v>78</v>
      </c>
      <c r="E32" s="7" t="s">
        <v>464</v>
      </c>
      <c r="F32" s="7" t="s">
        <v>80</v>
      </c>
      <c r="G32" s="7" t="s">
        <v>101</v>
      </c>
      <c r="H32" s="7" t="s">
        <v>459</v>
      </c>
      <c r="I32" s="7" t="s">
        <v>460</v>
      </c>
      <c r="J32" s="7" t="s">
        <v>465</v>
      </c>
      <c r="K32" s="7" t="s">
        <v>85</v>
      </c>
      <c r="L32" s="7" t="s">
        <v>466</v>
      </c>
      <c r="M32" s="7" t="s">
        <v>87</v>
      </c>
      <c r="N32" s="7"/>
      <c r="O32" s="7"/>
      <c r="P32" s="7" t="s">
        <v>88</v>
      </c>
      <c r="Q32" s="7" t="s">
        <v>144</v>
      </c>
      <c r="R32" s="7" t="s">
        <v>467</v>
      </c>
      <c r="S32" s="7"/>
      <c r="T32" s="7" t="s">
        <v>92</v>
      </c>
      <c r="U32" s="7"/>
      <c r="V32" s="7"/>
      <c r="W32" s="7"/>
      <c r="X32" s="7"/>
      <c r="Y32" s="7"/>
      <c r="Z32" s="7"/>
      <c r="AA32" s="7"/>
      <c r="AB32" s="7"/>
      <c r="AC32" s="8" t="s">
        <v>462</v>
      </c>
      <c r="AD32" s="7"/>
      <c r="AE32" s="7" t="s">
        <v>468</v>
      </c>
      <c r="AF32" s="7"/>
      <c r="AG32" s="7" t="s">
        <v>469</v>
      </c>
    </row>
    <row r="33" customFormat="false" ht="79.85" hidden="false" customHeight="false" outlineLevel="0" collapsed="false">
      <c r="A33" s="7" t="s">
        <v>470</v>
      </c>
      <c r="B33" s="7" t="s">
        <v>76</v>
      </c>
      <c r="C33" s="7" t="s">
        <v>141</v>
      </c>
      <c r="D33" s="7" t="s">
        <v>78</v>
      </c>
      <c r="E33" s="7" t="s">
        <v>471</v>
      </c>
      <c r="F33" s="7" t="s">
        <v>257</v>
      </c>
      <c r="G33" s="7" t="s">
        <v>472</v>
      </c>
      <c r="H33" s="7" t="s">
        <v>473</v>
      </c>
      <c r="I33" s="7" t="s">
        <v>474</v>
      </c>
      <c r="J33" s="7" t="s">
        <v>475</v>
      </c>
      <c r="K33" s="7" t="s">
        <v>85</v>
      </c>
      <c r="L33" s="7" t="s">
        <v>476</v>
      </c>
      <c r="M33" s="7" t="s">
        <v>87</v>
      </c>
      <c r="N33" s="7"/>
      <c r="O33" s="7" t="s">
        <v>477</v>
      </c>
      <c r="P33" s="7" t="s">
        <v>478</v>
      </c>
      <c r="Q33" s="7" t="s">
        <v>479</v>
      </c>
      <c r="R33" s="7" t="s">
        <v>480</v>
      </c>
      <c r="S33" s="7" t="s">
        <v>481</v>
      </c>
      <c r="T33" s="7" t="s">
        <v>92</v>
      </c>
      <c r="U33" s="7"/>
      <c r="V33" s="7"/>
      <c r="W33" s="7"/>
      <c r="X33" s="7"/>
      <c r="Y33" s="7"/>
      <c r="Z33" s="7"/>
      <c r="AA33" s="7"/>
      <c r="AB33" s="7" t="s">
        <v>482</v>
      </c>
      <c r="AC33" s="8" t="s">
        <v>483</v>
      </c>
      <c r="AD33" s="7" t="s">
        <v>245</v>
      </c>
      <c r="AE33" s="7" t="s">
        <v>484</v>
      </c>
      <c r="AF33" s="7"/>
      <c r="AG33" s="7" t="s">
        <v>485</v>
      </c>
    </row>
    <row r="34" customFormat="false" ht="113.4" hidden="false" customHeight="false" outlineLevel="0" collapsed="false">
      <c r="A34" s="7" t="s">
        <v>486</v>
      </c>
      <c r="B34" s="7" t="s">
        <v>76</v>
      </c>
      <c r="C34" s="7" t="s">
        <v>141</v>
      </c>
      <c r="D34" s="7" t="s">
        <v>98</v>
      </c>
      <c r="E34" s="7" t="s">
        <v>487</v>
      </c>
      <c r="F34" s="7" t="s">
        <v>80</v>
      </c>
      <c r="G34" s="7" t="s">
        <v>81</v>
      </c>
      <c r="H34" s="7" t="s">
        <v>82</v>
      </c>
      <c r="I34" s="7" t="s">
        <v>119</v>
      </c>
      <c r="J34" s="7" t="s">
        <v>488</v>
      </c>
      <c r="K34" s="7" t="s">
        <v>85</v>
      </c>
      <c r="L34" s="7" t="s">
        <v>489</v>
      </c>
      <c r="M34" s="7" t="s">
        <v>87</v>
      </c>
      <c r="N34" s="7" t="s">
        <v>490</v>
      </c>
      <c r="O34" s="7"/>
      <c r="P34" s="7" t="s">
        <v>491</v>
      </c>
      <c r="Q34" s="7" t="s">
        <v>492</v>
      </c>
      <c r="R34" s="7" t="s">
        <v>493</v>
      </c>
      <c r="S34" s="7"/>
      <c r="T34" s="7" t="s">
        <v>92</v>
      </c>
      <c r="U34" s="7"/>
      <c r="V34" s="7"/>
      <c r="W34" s="7"/>
      <c r="X34" s="7"/>
      <c r="Y34" s="7"/>
      <c r="Z34" s="7"/>
      <c r="AA34" s="7"/>
      <c r="AB34" s="7" t="s">
        <v>494</v>
      </c>
      <c r="AC34" s="8" t="s">
        <v>495</v>
      </c>
      <c r="AD34" s="7"/>
      <c r="AE34" s="7" t="s">
        <v>496</v>
      </c>
      <c r="AF34" s="7"/>
      <c r="AG34" s="7" t="s">
        <v>497</v>
      </c>
    </row>
    <row r="35" customFormat="false" ht="79.85" hidden="false" customHeight="false" outlineLevel="0" collapsed="false">
      <c r="A35" s="7" t="s">
        <v>498</v>
      </c>
      <c r="B35" s="7" t="s">
        <v>76</v>
      </c>
      <c r="C35" s="7" t="s">
        <v>141</v>
      </c>
      <c r="D35" s="7" t="s">
        <v>98</v>
      </c>
      <c r="E35" s="7" t="s">
        <v>499</v>
      </c>
      <c r="F35" s="7" t="s">
        <v>379</v>
      </c>
      <c r="G35" s="7" t="s">
        <v>81</v>
      </c>
      <c r="H35" s="7" t="s">
        <v>82</v>
      </c>
      <c r="I35" s="7" t="s">
        <v>119</v>
      </c>
      <c r="J35" s="7" t="s">
        <v>500</v>
      </c>
      <c r="K35" s="7" t="s">
        <v>85</v>
      </c>
      <c r="L35" s="7" t="s">
        <v>501</v>
      </c>
      <c r="M35" s="7" t="s">
        <v>87</v>
      </c>
      <c r="N35" s="7"/>
      <c r="O35" s="7"/>
      <c r="P35" s="7" t="s">
        <v>106</v>
      </c>
      <c r="Q35" s="7" t="s">
        <v>144</v>
      </c>
      <c r="R35" s="7" t="s">
        <v>502</v>
      </c>
      <c r="S35" s="7" t="s">
        <v>503</v>
      </c>
      <c r="T35" s="7" t="s">
        <v>109</v>
      </c>
      <c r="U35" s="7" t="s">
        <v>504</v>
      </c>
      <c r="V35" s="8" t="s">
        <v>505</v>
      </c>
      <c r="W35" s="7"/>
      <c r="X35" s="7"/>
      <c r="Y35" s="7"/>
      <c r="Z35" s="7"/>
      <c r="AA35" s="7"/>
      <c r="AB35" s="7" t="s">
        <v>506</v>
      </c>
      <c r="AC35" s="8" t="s">
        <v>507</v>
      </c>
      <c r="AD35" s="7" t="s">
        <v>245</v>
      </c>
      <c r="AE35" s="7" t="s">
        <v>508</v>
      </c>
      <c r="AF35" s="7"/>
      <c r="AG35" s="7" t="s">
        <v>509</v>
      </c>
    </row>
    <row r="36" customFormat="false" ht="91" hidden="false" customHeight="false" outlineLevel="0" collapsed="false">
      <c r="A36" s="7" t="s">
        <v>510</v>
      </c>
      <c r="B36" s="7" t="s">
        <v>76</v>
      </c>
      <c r="C36" s="7" t="s">
        <v>141</v>
      </c>
      <c r="D36" s="7" t="s">
        <v>98</v>
      </c>
      <c r="E36" s="7" t="s">
        <v>511</v>
      </c>
      <c r="F36" s="7" t="s">
        <v>100</v>
      </c>
      <c r="G36" s="7" t="s">
        <v>81</v>
      </c>
      <c r="H36" s="7" t="s">
        <v>82</v>
      </c>
      <c r="I36" s="7" t="s">
        <v>119</v>
      </c>
      <c r="J36" s="7" t="s">
        <v>512</v>
      </c>
      <c r="K36" s="7" t="s">
        <v>85</v>
      </c>
      <c r="L36" s="7" t="s">
        <v>513</v>
      </c>
      <c r="M36" s="7" t="s">
        <v>87</v>
      </c>
      <c r="N36" s="7"/>
      <c r="O36" s="7" t="s">
        <v>514</v>
      </c>
      <c r="P36" s="7" t="s">
        <v>106</v>
      </c>
      <c r="Q36" s="7" t="s">
        <v>515</v>
      </c>
      <c r="R36" s="7" t="s">
        <v>516</v>
      </c>
      <c r="S36" s="7"/>
      <c r="T36" s="7" t="s">
        <v>92</v>
      </c>
      <c r="U36" s="7"/>
      <c r="V36" s="7"/>
      <c r="W36" s="7"/>
      <c r="X36" s="7"/>
      <c r="Y36" s="7"/>
      <c r="Z36" s="7"/>
      <c r="AA36" s="7"/>
      <c r="AB36" s="7"/>
      <c r="AC36" s="8" t="s">
        <v>517</v>
      </c>
      <c r="AD36" s="7"/>
      <c r="AE36" s="7"/>
      <c r="AF36" s="7"/>
      <c r="AG36" s="7" t="s">
        <v>518</v>
      </c>
    </row>
    <row r="37" customFormat="false" ht="35.05" hidden="false" customHeight="false" outlineLevel="0" collapsed="false">
      <c r="A37" s="7" t="s">
        <v>519</v>
      </c>
      <c r="B37" s="7" t="s">
        <v>76</v>
      </c>
      <c r="C37" s="7" t="s">
        <v>141</v>
      </c>
      <c r="D37" s="7" t="s">
        <v>98</v>
      </c>
      <c r="E37" s="7" t="s">
        <v>520</v>
      </c>
      <c r="F37" s="7" t="s">
        <v>80</v>
      </c>
      <c r="G37" s="7" t="s">
        <v>81</v>
      </c>
      <c r="H37" s="7" t="s">
        <v>82</v>
      </c>
      <c r="I37" s="7" t="s">
        <v>119</v>
      </c>
      <c r="J37" s="7" t="s">
        <v>211</v>
      </c>
      <c r="K37" s="7" t="s">
        <v>85</v>
      </c>
      <c r="L37" s="7" t="s">
        <v>105</v>
      </c>
      <c r="M37" s="7" t="s">
        <v>87</v>
      </c>
      <c r="N37" s="7"/>
      <c r="O37" s="7"/>
      <c r="P37" s="7" t="s">
        <v>106</v>
      </c>
      <c r="Q37" s="7" t="s">
        <v>144</v>
      </c>
      <c r="R37" s="7" t="s">
        <v>212</v>
      </c>
      <c r="S37" s="7"/>
      <c r="T37" s="7" t="s">
        <v>92</v>
      </c>
      <c r="U37" s="7"/>
      <c r="V37" s="7"/>
      <c r="W37" s="7"/>
      <c r="X37" s="7"/>
      <c r="Y37" s="7"/>
      <c r="Z37" s="7"/>
      <c r="AA37" s="7"/>
      <c r="AB37" s="7"/>
      <c r="AC37" s="8" t="s">
        <v>213</v>
      </c>
      <c r="AD37" s="7" t="s">
        <v>177</v>
      </c>
      <c r="AE37" s="7"/>
      <c r="AF37" s="7"/>
      <c r="AG37" s="7" t="s">
        <v>521</v>
      </c>
    </row>
    <row r="38" customFormat="false" ht="57.45" hidden="false" customHeight="false" outlineLevel="0" collapsed="false">
      <c r="A38" s="7" t="s">
        <v>522</v>
      </c>
      <c r="B38" s="7" t="s">
        <v>76</v>
      </c>
      <c r="C38" s="7" t="s">
        <v>141</v>
      </c>
      <c r="D38" s="7" t="s">
        <v>98</v>
      </c>
      <c r="E38" s="7" t="s">
        <v>523</v>
      </c>
      <c r="F38" s="7" t="s">
        <v>257</v>
      </c>
      <c r="G38" s="7" t="s">
        <v>81</v>
      </c>
      <c r="H38" s="7" t="s">
        <v>82</v>
      </c>
      <c r="I38" s="7" t="s">
        <v>119</v>
      </c>
      <c r="J38" s="7" t="s">
        <v>524</v>
      </c>
      <c r="K38" s="7" t="s">
        <v>85</v>
      </c>
      <c r="L38" s="7" t="s">
        <v>525</v>
      </c>
      <c r="M38" s="7" t="s">
        <v>87</v>
      </c>
      <c r="N38" s="7" t="s">
        <v>526</v>
      </c>
      <c r="O38" s="7" t="s">
        <v>527</v>
      </c>
      <c r="P38" s="7" t="s">
        <v>528</v>
      </c>
      <c r="Q38" s="7" t="s">
        <v>529</v>
      </c>
      <c r="R38" s="7" t="s">
        <v>530</v>
      </c>
      <c r="S38" s="7"/>
      <c r="T38" s="7" t="s">
        <v>92</v>
      </c>
      <c r="U38" s="7"/>
      <c r="V38" s="7"/>
      <c r="W38" s="7"/>
      <c r="X38" s="7"/>
      <c r="Y38" s="7"/>
      <c r="Z38" s="7"/>
      <c r="AA38" s="7"/>
      <c r="AB38" s="7" t="s">
        <v>531</v>
      </c>
      <c r="AC38" s="8" t="s">
        <v>532</v>
      </c>
      <c r="AD38" s="7"/>
      <c r="AE38" s="7" t="s">
        <v>533</v>
      </c>
      <c r="AF38" s="7"/>
      <c r="AG38" s="7" t="s">
        <v>534</v>
      </c>
    </row>
    <row r="39" customFormat="false" ht="46.25" hidden="false" customHeight="false" outlineLevel="0" collapsed="false">
      <c r="A39" s="7" t="s">
        <v>535</v>
      </c>
      <c r="B39" s="7" t="s">
        <v>76</v>
      </c>
      <c r="C39" s="7" t="s">
        <v>141</v>
      </c>
      <c r="D39" s="7" t="s">
        <v>98</v>
      </c>
      <c r="E39" s="7" t="s">
        <v>536</v>
      </c>
      <c r="F39" s="7" t="s">
        <v>80</v>
      </c>
      <c r="G39" s="7" t="s">
        <v>101</v>
      </c>
      <c r="H39" s="7" t="s">
        <v>318</v>
      </c>
      <c r="I39" s="7" t="s">
        <v>319</v>
      </c>
      <c r="J39" s="7"/>
      <c r="K39" s="7" t="s">
        <v>85</v>
      </c>
      <c r="L39" s="7" t="s">
        <v>537</v>
      </c>
      <c r="M39" s="7" t="s">
        <v>87</v>
      </c>
      <c r="N39" s="7"/>
      <c r="O39" s="7"/>
      <c r="P39" s="7" t="s">
        <v>106</v>
      </c>
      <c r="Q39" s="7" t="s">
        <v>144</v>
      </c>
      <c r="R39" s="7" t="s">
        <v>538</v>
      </c>
      <c r="S39" s="7"/>
      <c r="T39" s="7" t="s">
        <v>92</v>
      </c>
      <c r="U39" s="7"/>
      <c r="V39" s="7"/>
      <c r="W39" s="7"/>
      <c r="X39" s="7"/>
      <c r="Y39" s="7"/>
      <c r="Z39" s="7"/>
      <c r="AA39" s="7"/>
      <c r="AB39" s="7" t="s">
        <v>539</v>
      </c>
      <c r="AC39" s="8" t="s">
        <v>540</v>
      </c>
      <c r="AD39" s="7" t="s">
        <v>541</v>
      </c>
      <c r="AE39" s="7" t="s">
        <v>542</v>
      </c>
      <c r="AF39" s="7"/>
      <c r="AG39" s="7" t="s">
        <v>543</v>
      </c>
    </row>
    <row r="40" customFormat="false" ht="35.05" hidden="false" customHeight="false" outlineLevel="0" collapsed="false">
      <c r="A40" s="7" t="s">
        <v>544</v>
      </c>
      <c r="B40" s="7" t="s">
        <v>76</v>
      </c>
      <c r="C40" s="7" t="s">
        <v>141</v>
      </c>
      <c r="D40" s="7" t="s">
        <v>98</v>
      </c>
      <c r="E40" s="7" t="s">
        <v>545</v>
      </c>
      <c r="F40" s="7" t="s">
        <v>80</v>
      </c>
      <c r="G40" s="7" t="s">
        <v>101</v>
      </c>
      <c r="H40" s="7" t="s">
        <v>102</v>
      </c>
      <c r="I40" s="7" t="s">
        <v>103</v>
      </c>
      <c r="J40" s="7" t="s">
        <v>546</v>
      </c>
      <c r="K40" s="7" t="s">
        <v>85</v>
      </c>
      <c r="L40" s="7" t="s">
        <v>547</v>
      </c>
      <c r="M40" s="7" t="s">
        <v>87</v>
      </c>
      <c r="N40" s="7" t="s">
        <v>490</v>
      </c>
      <c r="O40" s="7"/>
      <c r="P40" s="7" t="s">
        <v>106</v>
      </c>
      <c r="Q40" s="7" t="s">
        <v>144</v>
      </c>
      <c r="R40" s="7" t="s">
        <v>548</v>
      </c>
      <c r="S40" s="7" t="s">
        <v>549</v>
      </c>
      <c r="T40" s="7" t="s">
        <v>92</v>
      </c>
      <c r="U40" s="7"/>
      <c r="V40" s="7"/>
      <c r="W40" s="7"/>
      <c r="X40" s="7"/>
      <c r="Y40" s="7"/>
      <c r="Z40" s="7"/>
      <c r="AA40" s="7"/>
      <c r="AB40" s="7"/>
      <c r="AC40" s="8" t="s">
        <v>550</v>
      </c>
      <c r="AD40" s="7" t="s">
        <v>245</v>
      </c>
      <c r="AE40" s="7"/>
      <c r="AF40" s="7"/>
      <c r="AG40" s="7" t="s">
        <v>96</v>
      </c>
    </row>
    <row r="41" customFormat="false" ht="57.45" hidden="false" customHeight="false" outlineLevel="0" collapsed="false">
      <c r="A41" s="7" t="s">
        <v>551</v>
      </c>
      <c r="B41" s="7" t="s">
        <v>76</v>
      </c>
      <c r="C41" s="7" t="s">
        <v>141</v>
      </c>
      <c r="D41" s="7" t="s">
        <v>98</v>
      </c>
      <c r="E41" s="7" t="s">
        <v>552</v>
      </c>
      <c r="F41" s="7" t="s">
        <v>182</v>
      </c>
      <c r="G41" s="7" t="s">
        <v>101</v>
      </c>
      <c r="H41" s="7" t="s">
        <v>102</v>
      </c>
      <c r="I41" s="7" t="s">
        <v>103</v>
      </c>
      <c r="J41" s="7" t="s">
        <v>553</v>
      </c>
      <c r="K41" s="7" t="s">
        <v>85</v>
      </c>
      <c r="L41" s="7" t="s">
        <v>554</v>
      </c>
      <c r="M41" s="7" t="s">
        <v>87</v>
      </c>
      <c r="N41" s="7"/>
      <c r="O41" s="7"/>
      <c r="P41" s="7" t="s">
        <v>106</v>
      </c>
      <c r="Q41" s="7" t="s">
        <v>144</v>
      </c>
      <c r="R41" s="7" t="s">
        <v>555</v>
      </c>
      <c r="S41" s="7"/>
      <c r="T41" s="7" t="s">
        <v>92</v>
      </c>
      <c r="U41" s="7"/>
      <c r="V41" s="7"/>
      <c r="W41" s="7"/>
      <c r="X41" s="7"/>
      <c r="Y41" s="7"/>
      <c r="Z41" s="7"/>
      <c r="AA41" s="7"/>
      <c r="AB41" s="7"/>
      <c r="AC41" s="8" t="s">
        <v>556</v>
      </c>
      <c r="AD41" s="7"/>
      <c r="AE41" s="7"/>
      <c r="AF41" s="7"/>
      <c r="AG41" s="7" t="s">
        <v>557</v>
      </c>
    </row>
    <row r="42" customFormat="false" ht="35.05" hidden="false" customHeight="false" outlineLevel="0" collapsed="false">
      <c r="A42" s="7" t="s">
        <v>558</v>
      </c>
      <c r="B42" s="7" t="s">
        <v>76</v>
      </c>
      <c r="C42" s="7" t="s">
        <v>141</v>
      </c>
      <c r="D42" s="7" t="s">
        <v>98</v>
      </c>
      <c r="E42" s="7" t="s">
        <v>559</v>
      </c>
      <c r="F42" s="7" t="s">
        <v>257</v>
      </c>
      <c r="G42" s="7" t="s">
        <v>101</v>
      </c>
      <c r="H42" s="7" t="s">
        <v>102</v>
      </c>
      <c r="I42" s="7" t="s">
        <v>103</v>
      </c>
      <c r="J42" s="7" t="s">
        <v>560</v>
      </c>
      <c r="K42" s="7" t="s">
        <v>85</v>
      </c>
      <c r="L42" s="7" t="s">
        <v>105</v>
      </c>
      <c r="M42" s="7" t="s">
        <v>87</v>
      </c>
      <c r="N42" s="7"/>
      <c r="O42" s="7"/>
      <c r="P42" s="7" t="s">
        <v>106</v>
      </c>
      <c r="Q42" s="7" t="s">
        <v>144</v>
      </c>
      <c r="R42" s="7" t="s">
        <v>561</v>
      </c>
      <c r="S42" s="7"/>
      <c r="T42" s="7" t="s">
        <v>92</v>
      </c>
      <c r="U42" s="7"/>
      <c r="V42" s="7"/>
      <c r="W42" s="7"/>
      <c r="X42" s="7"/>
      <c r="Y42" s="7"/>
      <c r="Z42" s="7"/>
      <c r="AA42" s="7"/>
      <c r="AB42" s="7"/>
      <c r="AC42" s="8" t="s">
        <v>374</v>
      </c>
      <c r="AD42" s="7" t="s">
        <v>177</v>
      </c>
      <c r="AE42" s="7"/>
      <c r="AF42" s="7"/>
      <c r="AG42" s="7" t="s">
        <v>562</v>
      </c>
    </row>
    <row r="43" customFormat="false" ht="68.65" hidden="false" customHeight="false" outlineLevel="0" collapsed="false">
      <c r="A43" s="7" t="s">
        <v>563</v>
      </c>
      <c r="B43" s="7" t="s">
        <v>76</v>
      </c>
      <c r="C43" s="7" t="s">
        <v>141</v>
      </c>
      <c r="D43" s="7" t="s">
        <v>98</v>
      </c>
      <c r="E43" s="7" t="s">
        <v>564</v>
      </c>
      <c r="F43" s="7" t="s">
        <v>257</v>
      </c>
      <c r="G43" s="7" t="s">
        <v>101</v>
      </c>
      <c r="H43" s="7" t="s">
        <v>428</v>
      </c>
      <c r="I43" s="7" t="s">
        <v>429</v>
      </c>
      <c r="J43" s="7" t="s">
        <v>565</v>
      </c>
      <c r="K43" s="7" t="s">
        <v>85</v>
      </c>
      <c r="L43" s="7" t="s">
        <v>566</v>
      </c>
      <c r="M43" s="7" t="s">
        <v>87</v>
      </c>
      <c r="N43" s="7"/>
      <c r="O43" s="7" t="s">
        <v>567</v>
      </c>
      <c r="P43" s="7" t="s">
        <v>568</v>
      </c>
      <c r="Q43" s="7" t="s">
        <v>144</v>
      </c>
      <c r="R43" s="7" t="s">
        <v>569</v>
      </c>
      <c r="S43" s="7"/>
      <c r="T43" s="7" t="s">
        <v>92</v>
      </c>
      <c r="U43" s="7"/>
      <c r="V43" s="7"/>
      <c r="W43" s="7"/>
      <c r="X43" s="7"/>
      <c r="Y43" s="7"/>
      <c r="Z43" s="7"/>
      <c r="AA43" s="7"/>
      <c r="AB43" s="7"/>
      <c r="AC43" s="8" t="s">
        <v>570</v>
      </c>
      <c r="AD43" s="7"/>
      <c r="AE43" s="7" t="s">
        <v>571</v>
      </c>
      <c r="AF43" s="7"/>
      <c r="AG43" s="7" t="s">
        <v>572</v>
      </c>
    </row>
    <row r="44" customFormat="false" ht="46.25" hidden="false" customHeight="false" outlineLevel="0" collapsed="false">
      <c r="A44" s="7" t="s">
        <v>573</v>
      </c>
      <c r="B44" s="7" t="s">
        <v>76</v>
      </c>
      <c r="C44" s="7" t="s">
        <v>141</v>
      </c>
      <c r="D44" s="7" t="s">
        <v>98</v>
      </c>
      <c r="E44" s="7" t="s">
        <v>574</v>
      </c>
      <c r="F44" s="7" t="s">
        <v>80</v>
      </c>
      <c r="G44" s="7" t="s">
        <v>101</v>
      </c>
      <c r="H44" s="7" t="s">
        <v>428</v>
      </c>
      <c r="I44" s="7" t="s">
        <v>429</v>
      </c>
      <c r="J44" s="7" t="s">
        <v>575</v>
      </c>
      <c r="K44" s="7" t="s">
        <v>85</v>
      </c>
      <c r="L44" s="7" t="s">
        <v>576</v>
      </c>
      <c r="M44" s="7" t="s">
        <v>87</v>
      </c>
      <c r="N44" s="7" t="s">
        <v>577</v>
      </c>
      <c r="O44" s="7"/>
      <c r="P44" s="7" t="s">
        <v>578</v>
      </c>
      <c r="Q44" s="7" t="s">
        <v>144</v>
      </c>
      <c r="R44" s="7" t="s">
        <v>579</v>
      </c>
      <c r="S44" s="7" t="s">
        <v>580</v>
      </c>
      <c r="T44" s="7" t="s">
        <v>92</v>
      </c>
      <c r="U44" s="7"/>
      <c r="V44" s="7"/>
      <c r="W44" s="7"/>
      <c r="X44" s="7"/>
      <c r="Y44" s="7"/>
      <c r="Z44" s="7"/>
      <c r="AA44" s="7"/>
      <c r="AB44" s="7"/>
      <c r="AC44" s="8" t="s">
        <v>556</v>
      </c>
      <c r="AD44" s="7" t="s">
        <v>245</v>
      </c>
      <c r="AE44" s="7" t="s">
        <v>581</v>
      </c>
      <c r="AF44" s="7"/>
      <c r="AG44" s="7" t="s">
        <v>582</v>
      </c>
    </row>
    <row r="45" customFormat="false" ht="35.05" hidden="false" customHeight="false" outlineLevel="0" collapsed="false">
      <c r="A45" s="7" t="s">
        <v>583</v>
      </c>
      <c r="B45" s="7" t="s">
        <v>76</v>
      </c>
      <c r="C45" s="7" t="s">
        <v>141</v>
      </c>
      <c r="D45" s="7" t="s">
        <v>98</v>
      </c>
      <c r="E45" s="7" t="s">
        <v>584</v>
      </c>
      <c r="F45" s="7" t="s">
        <v>80</v>
      </c>
      <c r="G45" s="7" t="s">
        <v>101</v>
      </c>
      <c r="H45" s="7" t="s">
        <v>459</v>
      </c>
      <c r="I45" s="7" t="s">
        <v>460</v>
      </c>
      <c r="J45" s="7" t="s">
        <v>585</v>
      </c>
      <c r="K45" s="7" t="s">
        <v>85</v>
      </c>
      <c r="L45" s="7" t="s">
        <v>105</v>
      </c>
      <c r="M45" s="7" t="s">
        <v>87</v>
      </c>
      <c r="N45" s="7"/>
      <c r="O45" s="7"/>
      <c r="P45" s="7" t="s">
        <v>106</v>
      </c>
      <c r="Q45" s="7" t="s">
        <v>144</v>
      </c>
      <c r="R45" s="7" t="s">
        <v>586</v>
      </c>
      <c r="S45" s="7"/>
      <c r="T45" s="7" t="s">
        <v>92</v>
      </c>
      <c r="U45" s="7"/>
      <c r="V45" s="7"/>
      <c r="W45" s="7"/>
      <c r="X45" s="7"/>
      <c r="Y45" s="7"/>
      <c r="Z45" s="7"/>
      <c r="AA45" s="7"/>
      <c r="AB45" s="7"/>
      <c r="AC45" s="8" t="s">
        <v>462</v>
      </c>
      <c r="AD45" s="7" t="s">
        <v>177</v>
      </c>
      <c r="AE45" s="7"/>
      <c r="AF45" s="7"/>
      <c r="AG45" s="7" t="s">
        <v>96</v>
      </c>
    </row>
    <row r="46" customFormat="false" ht="57.45" hidden="false" customHeight="false" outlineLevel="0" collapsed="false">
      <c r="A46" s="7" t="s">
        <v>587</v>
      </c>
      <c r="B46" s="7" t="s">
        <v>76</v>
      </c>
      <c r="C46" s="7" t="s">
        <v>141</v>
      </c>
      <c r="D46" s="7" t="s">
        <v>98</v>
      </c>
      <c r="E46" s="7" t="s">
        <v>588</v>
      </c>
      <c r="F46" s="7" t="s">
        <v>379</v>
      </c>
      <c r="G46" s="7" t="s">
        <v>101</v>
      </c>
      <c r="H46" s="7" t="s">
        <v>589</v>
      </c>
      <c r="I46" s="7" t="s">
        <v>590</v>
      </c>
      <c r="J46" s="7" t="s">
        <v>591</v>
      </c>
      <c r="K46" s="7" t="s">
        <v>85</v>
      </c>
      <c r="L46" s="7" t="s">
        <v>105</v>
      </c>
      <c r="M46" s="7" t="s">
        <v>87</v>
      </c>
      <c r="N46" s="7"/>
      <c r="O46" s="7"/>
      <c r="P46" s="7" t="s">
        <v>592</v>
      </c>
      <c r="Q46" s="7" t="s">
        <v>144</v>
      </c>
      <c r="R46" s="7" t="s">
        <v>593</v>
      </c>
      <c r="S46" s="7"/>
      <c r="T46" s="7" t="s">
        <v>92</v>
      </c>
      <c r="U46" s="7"/>
      <c r="V46" s="7"/>
      <c r="W46" s="7"/>
      <c r="X46" s="7"/>
      <c r="Y46" s="7"/>
      <c r="Z46" s="7"/>
      <c r="AA46" s="7"/>
      <c r="AB46" s="7" t="s">
        <v>594</v>
      </c>
      <c r="AC46" s="8" t="s">
        <v>595</v>
      </c>
      <c r="AD46" s="7"/>
      <c r="AE46" s="7" t="s">
        <v>596</v>
      </c>
      <c r="AF46" s="7"/>
      <c r="AG46" s="7" t="s">
        <v>597</v>
      </c>
    </row>
    <row r="47" customFormat="false" ht="35.05" hidden="false" customHeight="false" outlineLevel="0" collapsed="false">
      <c r="A47" s="7" t="s">
        <v>598</v>
      </c>
      <c r="B47" s="7" t="s">
        <v>76</v>
      </c>
      <c r="C47" s="7" t="s">
        <v>141</v>
      </c>
      <c r="D47" s="7" t="s">
        <v>98</v>
      </c>
      <c r="E47" s="7" t="s">
        <v>599</v>
      </c>
      <c r="F47" s="7" t="s">
        <v>80</v>
      </c>
      <c r="G47" s="7" t="s">
        <v>472</v>
      </c>
      <c r="H47" s="7" t="s">
        <v>600</v>
      </c>
      <c r="I47" s="7" t="s">
        <v>601</v>
      </c>
      <c r="J47" s="7"/>
      <c r="K47" s="7" t="s">
        <v>85</v>
      </c>
      <c r="L47" s="7" t="s">
        <v>105</v>
      </c>
      <c r="M47" s="7" t="s">
        <v>87</v>
      </c>
      <c r="N47" s="7"/>
      <c r="O47" s="7"/>
      <c r="P47" s="7" t="s">
        <v>106</v>
      </c>
      <c r="Q47" s="7" t="s">
        <v>144</v>
      </c>
      <c r="R47" s="7" t="s">
        <v>602</v>
      </c>
      <c r="S47" s="7"/>
      <c r="T47" s="7" t="s">
        <v>109</v>
      </c>
      <c r="U47" s="7" t="s">
        <v>603</v>
      </c>
      <c r="V47" s="8" t="s">
        <v>604</v>
      </c>
      <c r="W47" s="7"/>
      <c r="X47" s="7"/>
      <c r="Y47" s="7"/>
      <c r="Z47" s="7"/>
      <c r="AA47" s="7"/>
      <c r="AB47" s="7"/>
      <c r="AC47" s="8" t="s">
        <v>604</v>
      </c>
      <c r="AD47" s="7"/>
      <c r="AE47" s="7"/>
      <c r="AF47" s="7"/>
      <c r="AG47" s="7"/>
    </row>
    <row r="48" customFormat="false" ht="68.65" hidden="false" customHeight="false" outlineLevel="0" collapsed="false">
      <c r="A48" s="7" t="s">
        <v>605</v>
      </c>
      <c r="B48" s="7" t="s">
        <v>116</v>
      </c>
      <c r="C48" s="7" t="s">
        <v>141</v>
      </c>
      <c r="D48" s="7" t="s">
        <v>98</v>
      </c>
      <c r="E48" s="7" t="s">
        <v>606</v>
      </c>
      <c r="F48" s="7" t="s">
        <v>100</v>
      </c>
      <c r="G48" s="7" t="s">
        <v>81</v>
      </c>
      <c r="H48" s="7" t="s">
        <v>82</v>
      </c>
      <c r="I48" s="7" t="s">
        <v>119</v>
      </c>
      <c r="J48" s="7" t="s">
        <v>607</v>
      </c>
      <c r="K48" s="7" t="s">
        <v>85</v>
      </c>
      <c r="L48" s="7" t="s">
        <v>608</v>
      </c>
      <c r="M48" s="7" t="s">
        <v>87</v>
      </c>
      <c r="N48" s="7"/>
      <c r="O48" s="7"/>
      <c r="P48" s="7" t="s">
        <v>106</v>
      </c>
      <c r="Q48" s="7" t="s">
        <v>144</v>
      </c>
      <c r="R48" s="7" t="s">
        <v>609</v>
      </c>
      <c r="S48" s="7" t="s">
        <v>610</v>
      </c>
      <c r="T48" s="7" t="s">
        <v>92</v>
      </c>
      <c r="U48" s="7"/>
      <c r="V48" s="7"/>
      <c r="W48" s="7"/>
      <c r="X48" s="7"/>
      <c r="Y48" s="7"/>
      <c r="Z48" s="7"/>
      <c r="AA48" s="7"/>
      <c r="AB48" s="7"/>
      <c r="AC48" s="8" t="s">
        <v>611</v>
      </c>
      <c r="AD48" s="7"/>
      <c r="AE48" s="7" t="s">
        <v>612</v>
      </c>
      <c r="AF48" s="7"/>
      <c r="AG48" s="7" t="s">
        <v>613</v>
      </c>
    </row>
    <row r="49" customFormat="false" ht="46.25" hidden="false" customHeight="false" outlineLevel="0" collapsed="false">
      <c r="A49" s="7" t="s">
        <v>614</v>
      </c>
      <c r="B49" s="7" t="s">
        <v>116</v>
      </c>
      <c r="C49" s="7" t="s">
        <v>141</v>
      </c>
      <c r="D49" s="7" t="s">
        <v>98</v>
      </c>
      <c r="E49" s="7" t="s">
        <v>615</v>
      </c>
      <c r="F49" s="7" t="s">
        <v>80</v>
      </c>
      <c r="G49" s="7" t="s">
        <v>81</v>
      </c>
      <c r="H49" s="7" t="s">
        <v>82</v>
      </c>
      <c r="I49" s="7" t="s">
        <v>119</v>
      </c>
      <c r="J49" s="7" t="s">
        <v>211</v>
      </c>
      <c r="K49" s="7" t="s">
        <v>85</v>
      </c>
      <c r="L49" s="7" t="s">
        <v>616</v>
      </c>
      <c r="M49" s="7" t="s">
        <v>87</v>
      </c>
      <c r="N49" s="7"/>
      <c r="O49" s="7"/>
      <c r="P49" s="7" t="s">
        <v>106</v>
      </c>
      <c r="Q49" s="7" t="s">
        <v>144</v>
      </c>
      <c r="R49" s="7" t="s">
        <v>617</v>
      </c>
      <c r="S49" s="7" t="s">
        <v>618</v>
      </c>
      <c r="T49" s="7" t="s">
        <v>92</v>
      </c>
      <c r="U49" s="7"/>
      <c r="V49" s="7"/>
      <c r="W49" s="7"/>
      <c r="X49" s="7"/>
      <c r="Y49" s="7"/>
      <c r="Z49" s="7"/>
      <c r="AA49" s="7"/>
      <c r="AB49" s="7"/>
      <c r="AC49" s="8" t="s">
        <v>619</v>
      </c>
      <c r="AD49" s="7" t="s">
        <v>620</v>
      </c>
      <c r="AE49" s="7"/>
      <c r="AF49" s="7"/>
      <c r="AG49" s="7" t="s">
        <v>621</v>
      </c>
    </row>
    <row r="50" customFormat="false" ht="68.65" hidden="false" customHeight="false" outlineLevel="0" collapsed="false">
      <c r="A50" s="7" t="s">
        <v>622</v>
      </c>
      <c r="B50" s="7" t="s">
        <v>116</v>
      </c>
      <c r="C50" s="7" t="s">
        <v>141</v>
      </c>
      <c r="D50" s="7" t="s">
        <v>98</v>
      </c>
      <c r="E50" s="7" t="s">
        <v>623</v>
      </c>
      <c r="F50" s="7" t="s">
        <v>80</v>
      </c>
      <c r="G50" s="7" t="s">
        <v>81</v>
      </c>
      <c r="H50" s="7" t="s">
        <v>82</v>
      </c>
      <c r="I50" s="7" t="s">
        <v>119</v>
      </c>
      <c r="J50" s="7" t="s">
        <v>624</v>
      </c>
      <c r="K50" s="7" t="s">
        <v>85</v>
      </c>
      <c r="L50" s="7" t="s">
        <v>105</v>
      </c>
      <c r="M50" s="7" t="s">
        <v>87</v>
      </c>
      <c r="N50" s="7"/>
      <c r="O50" s="7"/>
      <c r="P50" s="7" t="s">
        <v>106</v>
      </c>
      <c r="Q50" s="7" t="s">
        <v>144</v>
      </c>
      <c r="R50" s="7" t="s">
        <v>625</v>
      </c>
      <c r="S50" s="7"/>
      <c r="T50" s="7" t="s">
        <v>92</v>
      </c>
      <c r="U50" s="7"/>
      <c r="V50" s="7"/>
      <c r="W50" s="7"/>
      <c r="X50" s="7"/>
      <c r="Y50" s="7"/>
      <c r="Z50" s="7"/>
      <c r="AA50" s="7"/>
      <c r="AB50" s="7"/>
      <c r="AC50" s="8" t="s">
        <v>202</v>
      </c>
      <c r="AD50" s="7"/>
      <c r="AE50" s="7" t="s">
        <v>626</v>
      </c>
      <c r="AF50" s="7"/>
      <c r="AG50" s="7" t="s">
        <v>627</v>
      </c>
    </row>
    <row r="51" customFormat="false" ht="79.85" hidden="false" customHeight="false" outlineLevel="0" collapsed="false">
      <c r="A51" s="7" t="s">
        <v>628</v>
      </c>
      <c r="B51" s="7" t="s">
        <v>116</v>
      </c>
      <c r="C51" s="7" t="s">
        <v>141</v>
      </c>
      <c r="D51" s="7" t="s">
        <v>98</v>
      </c>
      <c r="E51" s="7" t="s">
        <v>629</v>
      </c>
      <c r="F51" s="7" t="s">
        <v>257</v>
      </c>
      <c r="G51" s="7" t="s">
        <v>81</v>
      </c>
      <c r="H51" s="7" t="s">
        <v>82</v>
      </c>
      <c r="I51" s="7" t="s">
        <v>119</v>
      </c>
      <c r="J51" s="7" t="s">
        <v>630</v>
      </c>
      <c r="K51" s="7" t="s">
        <v>85</v>
      </c>
      <c r="L51" s="7" t="s">
        <v>105</v>
      </c>
      <c r="M51" s="7" t="s">
        <v>87</v>
      </c>
      <c r="N51" s="7"/>
      <c r="O51" s="7"/>
      <c r="P51" s="7" t="s">
        <v>106</v>
      </c>
      <c r="Q51" s="7" t="s">
        <v>144</v>
      </c>
      <c r="R51" s="7" t="s">
        <v>631</v>
      </c>
      <c r="S51" s="7"/>
      <c r="T51" s="7" t="s">
        <v>92</v>
      </c>
      <c r="U51" s="7"/>
      <c r="V51" s="7"/>
      <c r="W51" s="7"/>
      <c r="X51" s="7"/>
      <c r="Y51" s="7"/>
      <c r="Z51" s="7"/>
      <c r="AA51" s="7"/>
      <c r="AB51" s="7" t="s">
        <v>632</v>
      </c>
      <c r="AC51" s="8" t="s">
        <v>633</v>
      </c>
      <c r="AD51" s="7"/>
      <c r="AE51" s="7" t="s">
        <v>634</v>
      </c>
      <c r="AF51" s="7"/>
      <c r="AG51" s="7" t="s">
        <v>635</v>
      </c>
    </row>
    <row r="52" customFormat="false" ht="46.25" hidden="false" customHeight="false" outlineLevel="0" collapsed="false">
      <c r="A52" s="7" t="s">
        <v>636</v>
      </c>
      <c r="B52" s="7" t="s">
        <v>116</v>
      </c>
      <c r="C52" s="7" t="s">
        <v>141</v>
      </c>
      <c r="D52" s="7" t="s">
        <v>98</v>
      </c>
      <c r="E52" s="7" t="s">
        <v>637</v>
      </c>
      <c r="F52" s="7" t="s">
        <v>80</v>
      </c>
      <c r="G52" s="7" t="s">
        <v>81</v>
      </c>
      <c r="H52" s="7" t="s">
        <v>82</v>
      </c>
      <c r="I52" s="7" t="s">
        <v>119</v>
      </c>
      <c r="J52" s="7" t="s">
        <v>211</v>
      </c>
      <c r="K52" s="7" t="s">
        <v>85</v>
      </c>
      <c r="L52" s="7" t="s">
        <v>105</v>
      </c>
      <c r="M52" s="7" t="s">
        <v>87</v>
      </c>
      <c r="N52" s="7"/>
      <c r="O52" s="7"/>
      <c r="P52" s="7" t="s">
        <v>106</v>
      </c>
      <c r="Q52" s="7" t="s">
        <v>144</v>
      </c>
      <c r="R52" s="7" t="s">
        <v>638</v>
      </c>
      <c r="S52" s="7"/>
      <c r="T52" s="7" t="s">
        <v>92</v>
      </c>
      <c r="U52" s="7"/>
      <c r="V52" s="7"/>
      <c r="W52" s="7"/>
      <c r="X52" s="7"/>
      <c r="Y52" s="7"/>
      <c r="Z52" s="7"/>
      <c r="AA52" s="7"/>
      <c r="AB52" s="7"/>
      <c r="AC52" s="8" t="s">
        <v>639</v>
      </c>
      <c r="AD52" s="7" t="s">
        <v>640</v>
      </c>
      <c r="AE52" s="7"/>
      <c r="AF52" s="7"/>
      <c r="AG52" s="7" t="s">
        <v>641</v>
      </c>
    </row>
    <row r="53" customFormat="false" ht="23.85" hidden="false" customHeight="false" outlineLevel="0" collapsed="false">
      <c r="A53" s="7" t="s">
        <v>642</v>
      </c>
      <c r="B53" s="7" t="s">
        <v>116</v>
      </c>
      <c r="C53" s="7" t="s">
        <v>141</v>
      </c>
      <c r="D53" s="7" t="s">
        <v>98</v>
      </c>
      <c r="E53" s="7" t="s">
        <v>643</v>
      </c>
      <c r="F53" s="7" t="s">
        <v>379</v>
      </c>
      <c r="G53" s="7" t="s">
        <v>81</v>
      </c>
      <c r="H53" s="7" t="s">
        <v>82</v>
      </c>
      <c r="I53" s="7" t="s">
        <v>119</v>
      </c>
      <c r="J53" s="7" t="s">
        <v>168</v>
      </c>
      <c r="K53" s="7" t="s">
        <v>291</v>
      </c>
      <c r="L53" s="7" t="s">
        <v>644</v>
      </c>
      <c r="M53" s="7" t="s">
        <v>645</v>
      </c>
      <c r="N53" s="7"/>
      <c r="O53" s="7" t="s">
        <v>646</v>
      </c>
      <c r="P53" s="7" t="s">
        <v>647</v>
      </c>
      <c r="Q53" s="7" t="s">
        <v>648</v>
      </c>
      <c r="R53" s="7" t="s">
        <v>649</v>
      </c>
      <c r="S53" s="7"/>
      <c r="T53" s="7" t="s">
        <v>92</v>
      </c>
      <c r="U53" s="7"/>
      <c r="V53" s="7"/>
      <c r="W53" s="7"/>
      <c r="X53" s="7"/>
      <c r="Y53" s="7"/>
      <c r="Z53" s="7"/>
      <c r="AA53" s="7"/>
      <c r="AB53" s="7"/>
      <c r="AC53" s="8" t="s">
        <v>650</v>
      </c>
      <c r="AD53" s="7"/>
      <c r="AE53" s="7"/>
      <c r="AF53" s="7"/>
      <c r="AG53" s="7" t="s">
        <v>96</v>
      </c>
    </row>
    <row r="54" customFormat="false" ht="102.2" hidden="false" customHeight="false" outlineLevel="0" collapsed="false">
      <c r="A54" s="7" t="s">
        <v>651</v>
      </c>
      <c r="B54" s="7" t="s">
        <v>116</v>
      </c>
      <c r="C54" s="7" t="s">
        <v>141</v>
      </c>
      <c r="D54" s="7" t="s">
        <v>98</v>
      </c>
      <c r="E54" s="7" t="s">
        <v>652</v>
      </c>
      <c r="F54" s="7" t="s">
        <v>80</v>
      </c>
      <c r="G54" s="7" t="s">
        <v>81</v>
      </c>
      <c r="H54" s="7" t="s">
        <v>82</v>
      </c>
      <c r="I54" s="7" t="s">
        <v>119</v>
      </c>
      <c r="J54" s="7" t="s">
        <v>653</v>
      </c>
      <c r="K54" s="7" t="s">
        <v>85</v>
      </c>
      <c r="L54" s="7" t="s">
        <v>654</v>
      </c>
      <c r="M54" s="7" t="s">
        <v>87</v>
      </c>
      <c r="N54" s="7" t="s">
        <v>655</v>
      </c>
      <c r="O54" s="7"/>
      <c r="P54" s="7" t="s">
        <v>656</v>
      </c>
      <c r="Q54" s="7" t="s">
        <v>657</v>
      </c>
      <c r="R54" s="7" t="s">
        <v>658</v>
      </c>
      <c r="S54" s="7"/>
      <c r="T54" s="7" t="s">
        <v>109</v>
      </c>
      <c r="U54" s="7" t="s">
        <v>659</v>
      </c>
      <c r="V54" s="8" t="s">
        <v>660</v>
      </c>
      <c r="W54" s="7"/>
      <c r="X54" s="7"/>
      <c r="Y54" s="7"/>
      <c r="Z54" s="7"/>
      <c r="AA54" s="7"/>
      <c r="AB54" s="7" t="s">
        <v>661</v>
      </c>
      <c r="AC54" s="8" t="s">
        <v>253</v>
      </c>
      <c r="AD54" s="7"/>
      <c r="AE54" s="7" t="s">
        <v>662</v>
      </c>
      <c r="AF54" s="7"/>
      <c r="AG54" s="7" t="s">
        <v>663</v>
      </c>
    </row>
    <row r="55" customFormat="false" ht="57.45" hidden="false" customHeight="false" outlineLevel="0" collapsed="false">
      <c r="A55" s="7" t="s">
        <v>664</v>
      </c>
      <c r="B55" s="7" t="s">
        <v>116</v>
      </c>
      <c r="C55" s="7" t="s">
        <v>141</v>
      </c>
      <c r="D55" s="7" t="s">
        <v>98</v>
      </c>
      <c r="E55" s="7" t="s">
        <v>665</v>
      </c>
      <c r="F55" s="7" t="s">
        <v>379</v>
      </c>
      <c r="G55" s="7" t="s">
        <v>81</v>
      </c>
      <c r="H55" s="7" t="s">
        <v>82</v>
      </c>
      <c r="I55" s="7" t="s">
        <v>119</v>
      </c>
      <c r="J55" s="7" t="s">
        <v>666</v>
      </c>
      <c r="K55" s="7" t="s">
        <v>85</v>
      </c>
      <c r="L55" s="7" t="s">
        <v>667</v>
      </c>
      <c r="M55" s="7" t="s">
        <v>87</v>
      </c>
      <c r="N55" s="7"/>
      <c r="O55" s="7"/>
      <c r="P55" s="7" t="s">
        <v>106</v>
      </c>
      <c r="Q55" s="7" t="s">
        <v>668</v>
      </c>
      <c r="R55" s="7" t="s">
        <v>669</v>
      </c>
      <c r="S55" s="7" t="s">
        <v>670</v>
      </c>
      <c r="T55" s="7" t="s">
        <v>92</v>
      </c>
      <c r="U55" s="7"/>
      <c r="V55" s="7"/>
      <c r="W55" s="7"/>
      <c r="X55" s="7"/>
      <c r="Y55" s="7"/>
      <c r="Z55" s="7"/>
      <c r="AA55" s="7"/>
      <c r="AB55" s="7" t="s">
        <v>671</v>
      </c>
      <c r="AC55" s="8" t="s">
        <v>672</v>
      </c>
      <c r="AD55" s="7"/>
      <c r="AE55" s="7" t="s">
        <v>673</v>
      </c>
      <c r="AF55" s="7"/>
      <c r="AG55" s="7" t="s">
        <v>674</v>
      </c>
    </row>
    <row r="56" customFormat="false" ht="79.85" hidden="false" customHeight="false" outlineLevel="0" collapsed="false">
      <c r="A56" s="7" t="s">
        <v>675</v>
      </c>
      <c r="B56" s="7" t="s">
        <v>116</v>
      </c>
      <c r="C56" s="7" t="s">
        <v>141</v>
      </c>
      <c r="D56" s="7" t="s">
        <v>98</v>
      </c>
      <c r="E56" s="7" t="s">
        <v>676</v>
      </c>
      <c r="F56" s="7" t="s">
        <v>257</v>
      </c>
      <c r="G56" s="7" t="s">
        <v>81</v>
      </c>
      <c r="H56" s="7" t="s">
        <v>82</v>
      </c>
      <c r="I56" s="7" t="s">
        <v>119</v>
      </c>
      <c r="J56" s="7" t="s">
        <v>677</v>
      </c>
      <c r="K56" s="7" t="s">
        <v>85</v>
      </c>
      <c r="L56" s="7" t="s">
        <v>678</v>
      </c>
      <c r="M56" s="7" t="s">
        <v>679</v>
      </c>
      <c r="N56" s="7"/>
      <c r="O56" s="7"/>
      <c r="P56" s="7" t="s">
        <v>106</v>
      </c>
      <c r="Q56" s="7" t="s">
        <v>680</v>
      </c>
      <c r="R56" s="7" t="s">
        <v>681</v>
      </c>
      <c r="S56" s="7"/>
      <c r="T56" s="7" t="s">
        <v>92</v>
      </c>
      <c r="U56" s="7"/>
      <c r="V56" s="7"/>
      <c r="W56" s="7"/>
      <c r="X56" s="7"/>
      <c r="Y56" s="7"/>
      <c r="Z56" s="7"/>
      <c r="AA56" s="7"/>
      <c r="AB56" s="7" t="s">
        <v>682</v>
      </c>
      <c r="AC56" s="8" t="s">
        <v>683</v>
      </c>
      <c r="AD56" s="7" t="s">
        <v>684</v>
      </c>
      <c r="AE56" s="7"/>
      <c r="AF56" s="7"/>
      <c r="AG56" s="7" t="s">
        <v>685</v>
      </c>
    </row>
    <row r="57" customFormat="false" ht="35.05" hidden="false" customHeight="false" outlineLevel="0" collapsed="false">
      <c r="A57" s="7" t="s">
        <v>686</v>
      </c>
      <c r="B57" s="7" t="s">
        <v>116</v>
      </c>
      <c r="C57" s="7" t="s">
        <v>141</v>
      </c>
      <c r="D57" s="7" t="s">
        <v>98</v>
      </c>
      <c r="E57" s="7" t="s">
        <v>687</v>
      </c>
      <c r="F57" s="7" t="s">
        <v>80</v>
      </c>
      <c r="G57" s="7" t="s">
        <v>81</v>
      </c>
      <c r="H57" s="7" t="s">
        <v>82</v>
      </c>
      <c r="I57" s="7" t="s">
        <v>119</v>
      </c>
      <c r="J57" s="7" t="s">
        <v>688</v>
      </c>
      <c r="K57" s="7" t="s">
        <v>85</v>
      </c>
      <c r="L57" s="7" t="s">
        <v>105</v>
      </c>
      <c r="M57" s="7" t="s">
        <v>87</v>
      </c>
      <c r="N57" s="7"/>
      <c r="O57" s="7"/>
      <c r="P57" s="7" t="s">
        <v>106</v>
      </c>
      <c r="Q57" s="7" t="s">
        <v>144</v>
      </c>
      <c r="R57" s="7" t="s">
        <v>689</v>
      </c>
      <c r="S57" s="7"/>
      <c r="T57" s="7" t="s">
        <v>92</v>
      </c>
      <c r="U57" s="7"/>
      <c r="V57" s="7"/>
      <c r="W57" s="7"/>
      <c r="X57" s="7"/>
      <c r="Y57" s="7"/>
      <c r="Z57" s="7"/>
      <c r="AA57" s="7"/>
      <c r="AB57" s="7" t="s">
        <v>690</v>
      </c>
      <c r="AC57" s="8" t="s">
        <v>633</v>
      </c>
      <c r="AD57" s="7"/>
      <c r="AE57" s="7" t="s">
        <v>691</v>
      </c>
      <c r="AF57" s="7"/>
      <c r="AG57" s="7" t="s">
        <v>692</v>
      </c>
    </row>
    <row r="58" customFormat="false" ht="35.05" hidden="false" customHeight="false" outlineLevel="0" collapsed="false">
      <c r="A58" s="7" t="s">
        <v>693</v>
      </c>
      <c r="B58" s="7" t="s">
        <v>116</v>
      </c>
      <c r="C58" s="7" t="s">
        <v>141</v>
      </c>
      <c r="D58" s="7" t="s">
        <v>98</v>
      </c>
      <c r="E58" s="7" t="s">
        <v>694</v>
      </c>
      <c r="F58" s="7" t="s">
        <v>257</v>
      </c>
      <c r="G58" s="7" t="s">
        <v>81</v>
      </c>
      <c r="H58" s="7" t="s">
        <v>82</v>
      </c>
      <c r="I58" s="7" t="s">
        <v>119</v>
      </c>
      <c r="J58" s="7" t="s">
        <v>695</v>
      </c>
      <c r="K58" s="7" t="s">
        <v>85</v>
      </c>
      <c r="L58" s="7" t="s">
        <v>105</v>
      </c>
      <c r="M58" s="7" t="s">
        <v>87</v>
      </c>
      <c r="N58" s="7"/>
      <c r="O58" s="7"/>
      <c r="P58" s="7" t="s">
        <v>106</v>
      </c>
      <c r="Q58" s="7" t="s">
        <v>144</v>
      </c>
      <c r="R58" s="7" t="s">
        <v>696</v>
      </c>
      <c r="S58" s="7" t="s">
        <v>697</v>
      </c>
      <c r="T58" s="7" t="s">
        <v>92</v>
      </c>
      <c r="U58" s="7"/>
      <c r="V58" s="7"/>
      <c r="W58" s="7"/>
      <c r="X58" s="7"/>
      <c r="Y58" s="7"/>
      <c r="Z58" s="7"/>
      <c r="AA58" s="7"/>
      <c r="AB58" s="7"/>
      <c r="AC58" s="8" t="s">
        <v>672</v>
      </c>
      <c r="AD58" s="7" t="s">
        <v>698</v>
      </c>
      <c r="AE58" s="7"/>
      <c r="AF58" s="7"/>
      <c r="AG58" s="7" t="s">
        <v>96</v>
      </c>
    </row>
    <row r="59" customFormat="false" ht="79.85" hidden="false" customHeight="false" outlineLevel="0" collapsed="false">
      <c r="A59" s="7" t="s">
        <v>699</v>
      </c>
      <c r="B59" s="7" t="s">
        <v>116</v>
      </c>
      <c r="C59" s="7" t="s">
        <v>141</v>
      </c>
      <c r="D59" s="7" t="s">
        <v>98</v>
      </c>
      <c r="E59" s="7" t="s">
        <v>700</v>
      </c>
      <c r="F59" s="7" t="s">
        <v>379</v>
      </c>
      <c r="G59" s="7" t="s">
        <v>81</v>
      </c>
      <c r="H59" s="7" t="s">
        <v>82</v>
      </c>
      <c r="I59" s="7" t="s">
        <v>119</v>
      </c>
      <c r="J59" s="7" t="s">
        <v>701</v>
      </c>
      <c r="K59" s="7" t="s">
        <v>85</v>
      </c>
      <c r="L59" s="7" t="s">
        <v>702</v>
      </c>
      <c r="M59" s="7" t="s">
        <v>703</v>
      </c>
      <c r="N59" s="7"/>
      <c r="O59" s="7" t="s">
        <v>704</v>
      </c>
      <c r="P59" s="7" t="s">
        <v>705</v>
      </c>
      <c r="Q59" s="7" t="s">
        <v>706</v>
      </c>
      <c r="R59" s="7" t="s">
        <v>707</v>
      </c>
      <c r="S59" s="7" t="s">
        <v>670</v>
      </c>
      <c r="T59" s="7" t="s">
        <v>92</v>
      </c>
      <c r="U59" s="7"/>
      <c r="V59" s="7"/>
      <c r="W59" s="7"/>
      <c r="X59" s="7"/>
      <c r="Y59" s="7"/>
      <c r="Z59" s="7"/>
      <c r="AA59" s="7"/>
      <c r="AB59" s="7" t="s">
        <v>708</v>
      </c>
      <c r="AC59" s="8" t="s">
        <v>709</v>
      </c>
      <c r="AD59" s="7"/>
      <c r="AE59" s="7" t="s">
        <v>710</v>
      </c>
      <c r="AF59" s="7"/>
      <c r="AG59" s="7" t="s">
        <v>711</v>
      </c>
    </row>
    <row r="60" customFormat="false" ht="35.05" hidden="false" customHeight="false" outlineLevel="0" collapsed="false">
      <c r="A60" s="7" t="s">
        <v>712</v>
      </c>
      <c r="B60" s="7" t="s">
        <v>116</v>
      </c>
      <c r="C60" s="7" t="s">
        <v>141</v>
      </c>
      <c r="D60" s="7" t="s">
        <v>98</v>
      </c>
      <c r="E60" s="7" t="s">
        <v>713</v>
      </c>
      <c r="F60" s="7" t="s">
        <v>100</v>
      </c>
      <c r="G60" s="7" t="s">
        <v>81</v>
      </c>
      <c r="H60" s="7" t="s">
        <v>714</v>
      </c>
      <c r="I60" s="7" t="s">
        <v>715</v>
      </c>
      <c r="J60" s="7" t="s">
        <v>716</v>
      </c>
      <c r="K60" s="7" t="s">
        <v>85</v>
      </c>
      <c r="L60" s="7" t="s">
        <v>105</v>
      </c>
      <c r="M60" s="7" t="s">
        <v>87</v>
      </c>
      <c r="N60" s="7"/>
      <c r="O60" s="7"/>
      <c r="P60" s="7" t="s">
        <v>106</v>
      </c>
      <c r="Q60" s="7" t="s">
        <v>144</v>
      </c>
      <c r="R60" s="7" t="s">
        <v>717</v>
      </c>
      <c r="S60" s="7" t="s">
        <v>718</v>
      </c>
      <c r="T60" s="7" t="s">
        <v>189</v>
      </c>
      <c r="U60" s="7"/>
      <c r="V60" s="7"/>
      <c r="W60" s="8" t="s">
        <v>719</v>
      </c>
      <c r="X60" s="7"/>
      <c r="Y60" s="7"/>
      <c r="Z60" s="7"/>
      <c r="AA60" s="7"/>
      <c r="AB60" s="7"/>
      <c r="AC60" s="8" t="s">
        <v>719</v>
      </c>
      <c r="AD60" s="7" t="s">
        <v>720</v>
      </c>
      <c r="AE60" s="7" t="s">
        <v>721</v>
      </c>
      <c r="AF60" s="7" t="s">
        <v>722</v>
      </c>
      <c r="AG60" s="7" t="s">
        <v>723</v>
      </c>
    </row>
    <row r="61" customFormat="false" ht="46.25" hidden="false" customHeight="false" outlineLevel="0" collapsed="false">
      <c r="A61" s="7" t="s">
        <v>724</v>
      </c>
      <c r="B61" s="7" t="s">
        <v>116</v>
      </c>
      <c r="C61" s="7" t="s">
        <v>141</v>
      </c>
      <c r="D61" s="7" t="s">
        <v>98</v>
      </c>
      <c r="E61" s="7" t="s">
        <v>725</v>
      </c>
      <c r="F61" s="7" t="s">
        <v>257</v>
      </c>
      <c r="G61" s="7" t="s">
        <v>81</v>
      </c>
      <c r="H61" s="7" t="s">
        <v>289</v>
      </c>
      <c r="I61" s="7" t="s">
        <v>726</v>
      </c>
      <c r="J61" s="7"/>
      <c r="K61" s="7" t="s">
        <v>85</v>
      </c>
      <c r="L61" s="7" t="s">
        <v>105</v>
      </c>
      <c r="M61" s="7" t="s">
        <v>87</v>
      </c>
      <c r="N61" s="7"/>
      <c r="O61" s="7"/>
      <c r="P61" s="7" t="s">
        <v>106</v>
      </c>
      <c r="Q61" s="7" t="s">
        <v>144</v>
      </c>
      <c r="R61" s="7" t="s">
        <v>727</v>
      </c>
      <c r="S61" s="7"/>
      <c r="T61" s="7" t="s">
        <v>92</v>
      </c>
      <c r="U61" s="7"/>
      <c r="V61" s="7"/>
      <c r="W61" s="7"/>
      <c r="X61" s="7"/>
      <c r="Y61" s="7"/>
      <c r="Z61" s="7"/>
      <c r="AA61" s="7"/>
      <c r="AB61" s="7"/>
      <c r="AC61" s="8" t="s">
        <v>728</v>
      </c>
      <c r="AD61" s="7"/>
      <c r="AE61" s="7"/>
      <c r="AF61" s="7"/>
      <c r="AG61" s="7" t="s">
        <v>729</v>
      </c>
    </row>
    <row r="62" customFormat="false" ht="35.05" hidden="false" customHeight="false" outlineLevel="0" collapsed="false">
      <c r="A62" s="7" t="s">
        <v>730</v>
      </c>
      <c r="B62" s="7" t="s">
        <v>116</v>
      </c>
      <c r="C62" s="7" t="s">
        <v>141</v>
      </c>
      <c r="D62" s="7" t="s">
        <v>98</v>
      </c>
      <c r="E62" s="7" t="s">
        <v>731</v>
      </c>
      <c r="F62" s="7" t="s">
        <v>80</v>
      </c>
      <c r="G62" s="7" t="s">
        <v>81</v>
      </c>
      <c r="H62" s="7" t="s">
        <v>289</v>
      </c>
      <c r="I62" s="7" t="s">
        <v>732</v>
      </c>
      <c r="J62" s="7" t="s">
        <v>733</v>
      </c>
      <c r="K62" s="7" t="s">
        <v>85</v>
      </c>
      <c r="L62" s="7" t="s">
        <v>105</v>
      </c>
      <c r="M62" s="7" t="s">
        <v>87</v>
      </c>
      <c r="N62" s="7"/>
      <c r="O62" s="7"/>
      <c r="P62" s="7" t="s">
        <v>106</v>
      </c>
      <c r="Q62" s="7" t="s">
        <v>144</v>
      </c>
      <c r="R62" s="7" t="s">
        <v>734</v>
      </c>
      <c r="S62" s="7"/>
      <c r="T62" s="7" t="s">
        <v>92</v>
      </c>
      <c r="U62" s="7"/>
      <c r="V62" s="7"/>
      <c r="W62" s="7"/>
      <c r="X62" s="7"/>
      <c r="Y62" s="7"/>
      <c r="Z62" s="7"/>
      <c r="AA62" s="7"/>
      <c r="AB62" s="7"/>
      <c r="AC62" s="8" t="s">
        <v>735</v>
      </c>
      <c r="AD62" s="7" t="s">
        <v>177</v>
      </c>
      <c r="AE62" s="7"/>
      <c r="AF62" s="7"/>
      <c r="AG62" s="7" t="s">
        <v>736</v>
      </c>
    </row>
    <row r="63" customFormat="false" ht="23.85" hidden="false" customHeight="false" outlineLevel="0" collapsed="false">
      <c r="A63" s="7" t="s">
        <v>737</v>
      </c>
      <c r="B63" s="7" t="s">
        <v>116</v>
      </c>
      <c r="C63" s="7" t="s">
        <v>141</v>
      </c>
      <c r="D63" s="7" t="s">
        <v>98</v>
      </c>
      <c r="E63" s="7" t="s">
        <v>738</v>
      </c>
      <c r="F63" s="7" t="s">
        <v>257</v>
      </c>
      <c r="G63" s="7" t="s">
        <v>101</v>
      </c>
      <c r="H63" s="7" t="s">
        <v>318</v>
      </c>
      <c r="I63" s="7" t="s">
        <v>319</v>
      </c>
      <c r="J63" s="7" t="s">
        <v>739</v>
      </c>
      <c r="K63" s="7" t="s">
        <v>85</v>
      </c>
      <c r="L63" s="7" t="s">
        <v>740</v>
      </c>
      <c r="M63" s="7" t="s">
        <v>87</v>
      </c>
      <c r="N63" s="7"/>
      <c r="O63" s="7" t="s">
        <v>741</v>
      </c>
      <c r="P63" s="7" t="s">
        <v>742</v>
      </c>
      <c r="Q63" s="7" t="s">
        <v>743</v>
      </c>
      <c r="R63" s="7" t="s">
        <v>744</v>
      </c>
      <c r="S63" s="7" t="s">
        <v>745</v>
      </c>
      <c r="T63" s="7" t="s">
        <v>92</v>
      </c>
      <c r="U63" s="7"/>
      <c r="V63" s="7"/>
      <c r="W63" s="7"/>
      <c r="X63" s="7"/>
      <c r="Y63" s="7"/>
      <c r="Z63" s="7"/>
      <c r="AA63" s="7"/>
      <c r="AB63" s="7" t="s">
        <v>746</v>
      </c>
      <c r="AC63" s="8" t="s">
        <v>540</v>
      </c>
      <c r="AD63" s="7"/>
      <c r="AE63" s="7"/>
      <c r="AF63" s="7"/>
      <c r="AG63" s="7" t="s">
        <v>747</v>
      </c>
    </row>
    <row r="64" customFormat="false" ht="102.2" hidden="false" customHeight="false" outlineLevel="0" collapsed="false">
      <c r="A64" s="7" t="s">
        <v>748</v>
      </c>
      <c r="B64" s="7" t="s">
        <v>116</v>
      </c>
      <c r="C64" s="7" t="s">
        <v>141</v>
      </c>
      <c r="D64" s="7" t="s">
        <v>98</v>
      </c>
      <c r="E64" s="7" t="s">
        <v>749</v>
      </c>
      <c r="F64" s="7" t="s">
        <v>100</v>
      </c>
      <c r="G64" s="7" t="s">
        <v>101</v>
      </c>
      <c r="H64" s="7" t="s">
        <v>102</v>
      </c>
      <c r="I64" s="7" t="s">
        <v>103</v>
      </c>
      <c r="J64" s="7" t="s">
        <v>750</v>
      </c>
      <c r="K64" s="7" t="s">
        <v>85</v>
      </c>
      <c r="L64" s="7" t="s">
        <v>751</v>
      </c>
      <c r="M64" s="7" t="s">
        <v>87</v>
      </c>
      <c r="N64" s="7"/>
      <c r="O64" s="7" t="s">
        <v>752</v>
      </c>
      <c r="P64" s="7" t="s">
        <v>753</v>
      </c>
      <c r="Q64" s="7" t="s">
        <v>754</v>
      </c>
      <c r="R64" s="7" t="s">
        <v>755</v>
      </c>
      <c r="S64" s="7" t="s">
        <v>756</v>
      </c>
      <c r="T64" s="7" t="s">
        <v>92</v>
      </c>
      <c r="U64" s="7"/>
      <c r="V64" s="7"/>
      <c r="W64" s="7"/>
      <c r="X64" s="7"/>
      <c r="Y64" s="7"/>
      <c r="Z64" s="7"/>
      <c r="AA64" s="7"/>
      <c r="AB64" s="7"/>
      <c r="AC64" s="8" t="s">
        <v>757</v>
      </c>
      <c r="AD64" s="7"/>
      <c r="AE64" s="7"/>
      <c r="AF64" s="7"/>
      <c r="AG64" s="7" t="s">
        <v>758</v>
      </c>
    </row>
    <row r="65" customFormat="false" ht="35.05" hidden="false" customHeight="false" outlineLevel="0" collapsed="false">
      <c r="A65" s="7" t="s">
        <v>759</v>
      </c>
      <c r="B65" s="7" t="s">
        <v>116</v>
      </c>
      <c r="C65" s="7" t="s">
        <v>141</v>
      </c>
      <c r="D65" s="7" t="s">
        <v>98</v>
      </c>
      <c r="E65" s="7" t="s">
        <v>760</v>
      </c>
      <c r="F65" s="7" t="s">
        <v>100</v>
      </c>
      <c r="G65" s="7" t="s">
        <v>101</v>
      </c>
      <c r="H65" s="7" t="s">
        <v>102</v>
      </c>
      <c r="I65" s="7" t="s">
        <v>103</v>
      </c>
      <c r="J65" s="7" t="s">
        <v>761</v>
      </c>
      <c r="K65" s="7" t="s">
        <v>85</v>
      </c>
      <c r="L65" s="7" t="s">
        <v>762</v>
      </c>
      <c r="M65" s="7" t="s">
        <v>87</v>
      </c>
      <c r="N65" s="7"/>
      <c r="O65" s="7"/>
      <c r="P65" s="7" t="s">
        <v>106</v>
      </c>
      <c r="Q65" s="7" t="s">
        <v>763</v>
      </c>
      <c r="R65" s="7" t="s">
        <v>764</v>
      </c>
      <c r="S65" s="7"/>
      <c r="T65" s="7" t="s">
        <v>92</v>
      </c>
      <c r="U65" s="7"/>
      <c r="V65" s="7"/>
      <c r="W65" s="7"/>
      <c r="X65" s="7"/>
      <c r="Y65" s="7"/>
      <c r="Z65" s="7"/>
      <c r="AA65" s="7"/>
      <c r="AB65" s="7" t="s">
        <v>765</v>
      </c>
      <c r="AC65" s="8" t="s">
        <v>766</v>
      </c>
      <c r="AD65" s="7"/>
      <c r="AE65" s="7"/>
      <c r="AF65" s="7"/>
      <c r="AG65" s="7" t="s">
        <v>767</v>
      </c>
    </row>
    <row r="66" customFormat="false" ht="35.05" hidden="false" customHeight="false" outlineLevel="0" collapsed="false">
      <c r="A66" s="7" t="s">
        <v>768</v>
      </c>
      <c r="B66" s="7" t="s">
        <v>116</v>
      </c>
      <c r="C66" s="7" t="s">
        <v>141</v>
      </c>
      <c r="D66" s="7" t="s">
        <v>98</v>
      </c>
      <c r="E66" s="7" t="s">
        <v>769</v>
      </c>
      <c r="F66" s="7" t="s">
        <v>379</v>
      </c>
      <c r="G66" s="7" t="s">
        <v>101</v>
      </c>
      <c r="H66" s="7" t="s">
        <v>102</v>
      </c>
      <c r="I66" s="7" t="s">
        <v>103</v>
      </c>
      <c r="J66" s="7" t="s">
        <v>770</v>
      </c>
      <c r="K66" s="7" t="s">
        <v>85</v>
      </c>
      <c r="L66" s="7" t="s">
        <v>105</v>
      </c>
      <c r="M66" s="7" t="s">
        <v>87</v>
      </c>
      <c r="N66" s="7"/>
      <c r="O66" s="7"/>
      <c r="P66" s="7" t="s">
        <v>106</v>
      </c>
      <c r="Q66" s="7" t="s">
        <v>144</v>
      </c>
      <c r="R66" s="7" t="s">
        <v>771</v>
      </c>
      <c r="S66" s="7" t="s">
        <v>772</v>
      </c>
      <c r="T66" s="7" t="s">
        <v>92</v>
      </c>
      <c r="U66" s="7"/>
      <c r="V66" s="7"/>
      <c r="W66" s="7"/>
      <c r="X66" s="7"/>
      <c r="Y66" s="7"/>
      <c r="Z66" s="7"/>
      <c r="AA66" s="7"/>
      <c r="AB66" s="7"/>
      <c r="AC66" s="8" t="s">
        <v>556</v>
      </c>
      <c r="AD66" s="7" t="s">
        <v>177</v>
      </c>
      <c r="AE66" s="7" t="s">
        <v>773</v>
      </c>
      <c r="AF66" s="7"/>
      <c r="AG66" s="7" t="s">
        <v>774</v>
      </c>
    </row>
    <row r="67" customFormat="false" ht="46.25" hidden="false" customHeight="false" outlineLevel="0" collapsed="false">
      <c r="A67" s="7" t="s">
        <v>775</v>
      </c>
      <c r="B67" s="7" t="s">
        <v>116</v>
      </c>
      <c r="C67" s="7" t="s">
        <v>141</v>
      </c>
      <c r="D67" s="7" t="s">
        <v>98</v>
      </c>
      <c r="E67" s="7" t="s">
        <v>776</v>
      </c>
      <c r="F67" s="7" t="s">
        <v>100</v>
      </c>
      <c r="G67" s="7" t="s">
        <v>101</v>
      </c>
      <c r="H67" s="7" t="s">
        <v>428</v>
      </c>
      <c r="I67" s="7" t="s">
        <v>429</v>
      </c>
      <c r="J67" s="7" t="s">
        <v>777</v>
      </c>
      <c r="K67" s="7" t="s">
        <v>85</v>
      </c>
      <c r="L67" s="7" t="s">
        <v>105</v>
      </c>
      <c r="M67" s="7" t="s">
        <v>87</v>
      </c>
      <c r="N67" s="7"/>
      <c r="O67" s="7"/>
      <c r="P67" s="7" t="s">
        <v>106</v>
      </c>
      <c r="Q67" s="7" t="s">
        <v>144</v>
      </c>
      <c r="R67" s="7" t="s">
        <v>778</v>
      </c>
      <c r="S67" s="7" t="s">
        <v>779</v>
      </c>
      <c r="T67" s="7" t="s">
        <v>92</v>
      </c>
      <c r="U67" s="7"/>
      <c r="V67" s="7"/>
      <c r="W67" s="7"/>
      <c r="X67" s="7"/>
      <c r="Y67" s="7"/>
      <c r="Z67" s="7"/>
      <c r="AA67" s="7"/>
      <c r="AB67" s="7" t="s">
        <v>780</v>
      </c>
      <c r="AC67" s="8" t="s">
        <v>781</v>
      </c>
      <c r="AD67" s="7"/>
      <c r="AE67" s="7" t="s">
        <v>285</v>
      </c>
      <c r="AF67" s="7"/>
      <c r="AG67" s="7" t="s">
        <v>782</v>
      </c>
    </row>
    <row r="68" customFormat="false" ht="91" hidden="false" customHeight="false" outlineLevel="0" collapsed="false">
      <c r="A68" s="7" t="s">
        <v>783</v>
      </c>
      <c r="B68" s="7" t="s">
        <v>116</v>
      </c>
      <c r="C68" s="7" t="s">
        <v>141</v>
      </c>
      <c r="D68" s="7" t="s">
        <v>98</v>
      </c>
      <c r="E68" s="7" t="s">
        <v>784</v>
      </c>
      <c r="F68" s="7" t="s">
        <v>100</v>
      </c>
      <c r="G68" s="7" t="s">
        <v>101</v>
      </c>
      <c r="H68" s="7" t="s">
        <v>428</v>
      </c>
      <c r="I68" s="7" t="s">
        <v>429</v>
      </c>
      <c r="J68" s="7" t="s">
        <v>785</v>
      </c>
      <c r="K68" s="7" t="s">
        <v>85</v>
      </c>
      <c r="L68" s="7" t="s">
        <v>786</v>
      </c>
      <c r="M68" s="7" t="s">
        <v>87</v>
      </c>
      <c r="N68" s="7"/>
      <c r="O68" s="7"/>
      <c r="P68" s="7" t="s">
        <v>787</v>
      </c>
      <c r="Q68" s="7" t="s">
        <v>788</v>
      </c>
      <c r="R68" s="7" t="s">
        <v>789</v>
      </c>
      <c r="S68" s="7" t="s">
        <v>756</v>
      </c>
      <c r="T68" s="7" t="s">
        <v>92</v>
      </c>
      <c r="U68" s="7"/>
      <c r="V68" s="7"/>
      <c r="W68" s="7"/>
      <c r="X68" s="7"/>
      <c r="Y68" s="7"/>
      <c r="Z68" s="7"/>
      <c r="AA68" s="7"/>
      <c r="AB68" s="7" t="s">
        <v>790</v>
      </c>
      <c r="AC68" s="8" t="s">
        <v>791</v>
      </c>
      <c r="AD68" s="7"/>
      <c r="AE68" s="7" t="s">
        <v>792</v>
      </c>
      <c r="AF68" s="7"/>
      <c r="AG68" s="7" t="s">
        <v>793</v>
      </c>
    </row>
    <row r="69" customFormat="false" ht="68.65" hidden="false" customHeight="false" outlineLevel="0" collapsed="false">
      <c r="A69" s="7" t="s">
        <v>794</v>
      </c>
      <c r="B69" s="7" t="s">
        <v>116</v>
      </c>
      <c r="C69" s="7" t="s">
        <v>141</v>
      </c>
      <c r="D69" s="7" t="s">
        <v>98</v>
      </c>
      <c r="E69" s="7" t="s">
        <v>795</v>
      </c>
      <c r="F69" s="7" t="s">
        <v>80</v>
      </c>
      <c r="G69" s="7" t="s">
        <v>101</v>
      </c>
      <c r="H69" s="7" t="s">
        <v>459</v>
      </c>
      <c r="I69" s="7" t="s">
        <v>460</v>
      </c>
      <c r="J69" s="7" t="s">
        <v>796</v>
      </c>
      <c r="K69" s="7" t="s">
        <v>85</v>
      </c>
      <c r="L69" s="7" t="s">
        <v>105</v>
      </c>
      <c r="M69" s="7" t="s">
        <v>87</v>
      </c>
      <c r="N69" s="7" t="s">
        <v>797</v>
      </c>
      <c r="O69" s="7"/>
      <c r="P69" s="7" t="s">
        <v>106</v>
      </c>
      <c r="Q69" s="7" t="s">
        <v>144</v>
      </c>
      <c r="R69" s="7" t="s">
        <v>798</v>
      </c>
      <c r="S69" s="7"/>
      <c r="T69" s="7" t="s">
        <v>92</v>
      </c>
      <c r="U69" s="7"/>
      <c r="V69" s="7"/>
      <c r="W69" s="7"/>
      <c r="X69" s="7"/>
      <c r="Y69" s="7"/>
      <c r="Z69" s="7"/>
      <c r="AA69" s="7"/>
      <c r="AB69" s="7"/>
      <c r="AC69" s="8" t="s">
        <v>462</v>
      </c>
      <c r="AD69" s="7"/>
      <c r="AE69" s="7" t="s">
        <v>799</v>
      </c>
      <c r="AF69" s="7"/>
      <c r="AG69" s="7" t="s">
        <v>800</v>
      </c>
    </row>
    <row r="70" customFormat="false" ht="57.45" hidden="false" customHeight="false" outlineLevel="0" collapsed="false">
      <c r="A70" s="7" t="s">
        <v>801</v>
      </c>
      <c r="B70" s="7" t="s">
        <v>116</v>
      </c>
      <c r="C70" s="7" t="s">
        <v>141</v>
      </c>
      <c r="D70" s="7" t="s">
        <v>98</v>
      </c>
      <c r="E70" s="7" t="s">
        <v>802</v>
      </c>
      <c r="F70" s="7" t="s">
        <v>80</v>
      </c>
      <c r="G70" s="7" t="s">
        <v>101</v>
      </c>
      <c r="H70" s="7" t="s">
        <v>589</v>
      </c>
      <c r="I70" s="7" t="s">
        <v>803</v>
      </c>
      <c r="J70" s="7" t="s">
        <v>804</v>
      </c>
      <c r="K70" s="7" t="s">
        <v>85</v>
      </c>
      <c r="L70" s="7" t="s">
        <v>105</v>
      </c>
      <c r="M70" s="7" t="s">
        <v>87</v>
      </c>
      <c r="N70" s="7"/>
      <c r="O70" s="7"/>
      <c r="P70" s="7" t="s">
        <v>106</v>
      </c>
      <c r="Q70" s="7" t="s">
        <v>144</v>
      </c>
      <c r="R70" s="7" t="s">
        <v>805</v>
      </c>
      <c r="S70" s="7"/>
      <c r="T70" s="7" t="s">
        <v>92</v>
      </c>
      <c r="U70" s="7"/>
      <c r="V70" s="7"/>
      <c r="W70" s="7"/>
      <c r="X70" s="7"/>
      <c r="Y70" s="7"/>
      <c r="Z70" s="7"/>
      <c r="AA70" s="7"/>
      <c r="AB70" s="7"/>
      <c r="AC70" s="8" t="s">
        <v>806</v>
      </c>
      <c r="AD70" s="7" t="s">
        <v>807</v>
      </c>
      <c r="AE70" s="7" t="s">
        <v>808</v>
      </c>
      <c r="AF70" s="7"/>
      <c r="AG70" s="7" t="s">
        <v>809</v>
      </c>
    </row>
    <row r="71" customFormat="false" ht="68.65" hidden="false" customHeight="false" outlineLevel="0" collapsed="false">
      <c r="A71" s="7" t="s">
        <v>810</v>
      </c>
      <c r="B71" s="7" t="s">
        <v>811</v>
      </c>
      <c r="C71" s="7" t="s">
        <v>141</v>
      </c>
      <c r="D71" s="7" t="s">
        <v>78</v>
      </c>
      <c r="E71" s="7" t="s">
        <v>812</v>
      </c>
      <c r="F71" s="7" t="s">
        <v>118</v>
      </c>
      <c r="G71" s="7" t="s">
        <v>81</v>
      </c>
      <c r="H71" s="7" t="s">
        <v>82</v>
      </c>
      <c r="I71" s="7" t="s">
        <v>119</v>
      </c>
      <c r="J71" s="7" t="s">
        <v>813</v>
      </c>
      <c r="K71" s="7" t="s">
        <v>814</v>
      </c>
      <c r="L71" s="7" t="s">
        <v>815</v>
      </c>
      <c r="M71" s="7" t="s">
        <v>816</v>
      </c>
      <c r="N71" s="7"/>
      <c r="O71" s="7"/>
      <c r="P71" s="7" t="s">
        <v>817</v>
      </c>
      <c r="Q71" s="7" t="s">
        <v>818</v>
      </c>
      <c r="R71" s="7" t="s">
        <v>819</v>
      </c>
      <c r="S71" s="7"/>
      <c r="T71" s="7" t="s">
        <v>92</v>
      </c>
      <c r="U71" s="7"/>
      <c r="V71" s="7"/>
      <c r="W71" s="7"/>
      <c r="X71" s="7"/>
      <c r="Y71" s="7"/>
      <c r="Z71" s="7"/>
      <c r="AA71" s="7"/>
      <c r="AB71" s="7" t="s">
        <v>820</v>
      </c>
      <c r="AC71" s="8" t="s">
        <v>821</v>
      </c>
      <c r="AD71" s="7"/>
      <c r="AE71" s="7" t="s">
        <v>822</v>
      </c>
      <c r="AF71" s="7"/>
      <c r="AG71" s="7" t="s">
        <v>823</v>
      </c>
    </row>
    <row r="72" customFormat="false" ht="79.85" hidden="false" customHeight="false" outlineLevel="0" collapsed="false">
      <c r="A72" s="7" t="s">
        <v>824</v>
      </c>
      <c r="B72" s="7" t="s">
        <v>811</v>
      </c>
      <c r="C72" s="7" t="s">
        <v>141</v>
      </c>
      <c r="D72" s="7" t="s">
        <v>98</v>
      </c>
      <c r="E72" s="7" t="s">
        <v>825</v>
      </c>
      <c r="F72" s="7" t="s">
        <v>100</v>
      </c>
      <c r="G72" s="7" t="s">
        <v>81</v>
      </c>
      <c r="H72" s="7" t="s">
        <v>82</v>
      </c>
      <c r="I72" s="7" t="s">
        <v>119</v>
      </c>
      <c r="J72" s="7" t="s">
        <v>211</v>
      </c>
      <c r="K72" s="7" t="s">
        <v>85</v>
      </c>
      <c r="L72" s="7" t="s">
        <v>826</v>
      </c>
      <c r="M72" s="7" t="s">
        <v>87</v>
      </c>
      <c r="N72" s="7"/>
      <c r="O72" s="7"/>
      <c r="P72" s="7" t="s">
        <v>106</v>
      </c>
      <c r="Q72" s="7" t="s">
        <v>144</v>
      </c>
      <c r="R72" s="7" t="s">
        <v>827</v>
      </c>
      <c r="S72" s="7"/>
      <c r="T72" s="7" t="s">
        <v>92</v>
      </c>
      <c r="U72" s="7"/>
      <c r="V72" s="7"/>
      <c r="W72" s="7"/>
      <c r="X72" s="7"/>
      <c r="Y72" s="7"/>
      <c r="Z72" s="7"/>
      <c r="AA72" s="7"/>
      <c r="AB72" s="7"/>
      <c r="AC72" s="8" t="s">
        <v>176</v>
      </c>
      <c r="AD72" s="7"/>
      <c r="AE72" s="7" t="s">
        <v>178</v>
      </c>
      <c r="AF72" s="7"/>
      <c r="AG72" s="7" t="s">
        <v>828</v>
      </c>
    </row>
    <row r="73" customFormat="false" ht="68.65" hidden="false" customHeight="false" outlineLevel="0" collapsed="false">
      <c r="A73" s="7" t="s">
        <v>829</v>
      </c>
      <c r="B73" s="7" t="s">
        <v>811</v>
      </c>
      <c r="C73" s="7" t="s">
        <v>141</v>
      </c>
      <c r="D73" s="7" t="s">
        <v>98</v>
      </c>
      <c r="E73" s="7" t="s">
        <v>830</v>
      </c>
      <c r="F73" s="7" t="s">
        <v>80</v>
      </c>
      <c r="G73" s="7" t="s">
        <v>81</v>
      </c>
      <c r="H73" s="7" t="s">
        <v>82</v>
      </c>
      <c r="I73" s="7" t="s">
        <v>119</v>
      </c>
      <c r="J73" s="7" t="s">
        <v>831</v>
      </c>
      <c r="K73" s="7" t="s">
        <v>85</v>
      </c>
      <c r="L73" s="7" t="s">
        <v>832</v>
      </c>
      <c r="M73" s="7" t="s">
        <v>87</v>
      </c>
      <c r="N73" s="7" t="s">
        <v>833</v>
      </c>
      <c r="O73" s="7" t="s">
        <v>834</v>
      </c>
      <c r="P73" s="7" t="s">
        <v>106</v>
      </c>
      <c r="Q73" s="7" t="s">
        <v>144</v>
      </c>
      <c r="R73" s="7" t="s">
        <v>835</v>
      </c>
      <c r="S73" s="7"/>
      <c r="T73" s="7" t="s">
        <v>92</v>
      </c>
      <c r="U73" s="7"/>
      <c r="V73" s="7"/>
      <c r="W73" s="7"/>
      <c r="X73" s="7"/>
      <c r="Y73" s="7"/>
      <c r="Z73" s="7"/>
      <c r="AA73" s="7"/>
      <c r="AB73" s="7" t="s">
        <v>836</v>
      </c>
      <c r="AC73" s="8" t="s">
        <v>639</v>
      </c>
      <c r="AD73" s="7" t="s">
        <v>837</v>
      </c>
      <c r="AE73" s="7" t="s">
        <v>838</v>
      </c>
      <c r="AF73" s="7"/>
      <c r="AG73" s="7" t="s">
        <v>839</v>
      </c>
    </row>
    <row r="74" customFormat="false" ht="35.05" hidden="false" customHeight="false" outlineLevel="0" collapsed="false">
      <c r="A74" s="7" t="s">
        <v>840</v>
      </c>
      <c r="B74" s="7" t="s">
        <v>811</v>
      </c>
      <c r="C74" s="7" t="s">
        <v>141</v>
      </c>
      <c r="D74" s="7" t="s">
        <v>98</v>
      </c>
      <c r="E74" s="7" t="s">
        <v>841</v>
      </c>
      <c r="F74" s="7" t="s">
        <v>379</v>
      </c>
      <c r="G74" s="7" t="s">
        <v>81</v>
      </c>
      <c r="H74" s="7" t="s">
        <v>82</v>
      </c>
      <c r="I74" s="7" t="s">
        <v>119</v>
      </c>
      <c r="J74" s="7" t="s">
        <v>168</v>
      </c>
      <c r="K74" s="7" t="s">
        <v>85</v>
      </c>
      <c r="L74" s="7" t="s">
        <v>105</v>
      </c>
      <c r="M74" s="7" t="s">
        <v>87</v>
      </c>
      <c r="N74" s="7"/>
      <c r="O74" s="7"/>
      <c r="P74" s="7" t="s">
        <v>106</v>
      </c>
      <c r="Q74" s="7" t="s">
        <v>144</v>
      </c>
      <c r="R74" s="7" t="s">
        <v>842</v>
      </c>
      <c r="S74" s="7"/>
      <c r="T74" s="7" t="s">
        <v>92</v>
      </c>
      <c r="U74" s="7"/>
      <c r="V74" s="7"/>
      <c r="W74" s="7"/>
      <c r="X74" s="7"/>
      <c r="Y74" s="7"/>
      <c r="Z74" s="7"/>
      <c r="AA74" s="7"/>
      <c r="AB74" s="7"/>
      <c r="AC74" s="8" t="s">
        <v>843</v>
      </c>
      <c r="AD74" s="7" t="s">
        <v>177</v>
      </c>
      <c r="AE74" s="7"/>
      <c r="AF74" s="7"/>
      <c r="AG74" s="7" t="s">
        <v>844</v>
      </c>
    </row>
    <row r="75" customFormat="false" ht="68.65" hidden="false" customHeight="false" outlineLevel="0" collapsed="false">
      <c r="A75" s="7" t="s">
        <v>845</v>
      </c>
      <c r="B75" s="7" t="s">
        <v>811</v>
      </c>
      <c r="C75" s="7" t="s">
        <v>141</v>
      </c>
      <c r="D75" s="7" t="s">
        <v>98</v>
      </c>
      <c r="E75" s="7" t="s">
        <v>846</v>
      </c>
      <c r="F75" s="7" t="s">
        <v>182</v>
      </c>
      <c r="G75" s="7" t="s">
        <v>81</v>
      </c>
      <c r="H75" s="7" t="s">
        <v>82</v>
      </c>
      <c r="I75" s="7" t="s">
        <v>119</v>
      </c>
      <c r="J75" s="7" t="s">
        <v>847</v>
      </c>
      <c r="K75" s="7" t="s">
        <v>85</v>
      </c>
      <c r="L75" s="7" t="s">
        <v>105</v>
      </c>
      <c r="M75" s="7" t="s">
        <v>87</v>
      </c>
      <c r="N75" s="7" t="s">
        <v>848</v>
      </c>
      <c r="O75" s="7"/>
      <c r="P75" s="7" t="s">
        <v>106</v>
      </c>
      <c r="Q75" s="7" t="s">
        <v>144</v>
      </c>
      <c r="R75" s="7" t="s">
        <v>849</v>
      </c>
      <c r="S75" s="7" t="s">
        <v>850</v>
      </c>
      <c r="T75" s="7" t="s">
        <v>92</v>
      </c>
      <c r="U75" s="7"/>
      <c r="V75" s="7"/>
      <c r="W75" s="7"/>
      <c r="X75" s="7"/>
      <c r="Y75" s="7"/>
      <c r="Z75" s="7"/>
      <c r="AA75" s="7"/>
      <c r="AB75" s="7" t="s">
        <v>851</v>
      </c>
      <c r="AC75" s="8" t="s">
        <v>176</v>
      </c>
      <c r="AD75" s="7" t="s">
        <v>852</v>
      </c>
      <c r="AE75" s="7" t="s">
        <v>853</v>
      </c>
      <c r="AF75" s="7"/>
      <c r="AG75" s="7" t="s">
        <v>854</v>
      </c>
    </row>
    <row r="76" customFormat="false" ht="102.2" hidden="false" customHeight="false" outlineLevel="0" collapsed="false">
      <c r="A76" s="7" t="s">
        <v>855</v>
      </c>
      <c r="B76" s="7" t="s">
        <v>811</v>
      </c>
      <c r="C76" s="7" t="s">
        <v>141</v>
      </c>
      <c r="D76" s="7" t="s">
        <v>98</v>
      </c>
      <c r="E76" s="7" t="s">
        <v>856</v>
      </c>
      <c r="F76" s="7" t="s">
        <v>379</v>
      </c>
      <c r="G76" s="7" t="s">
        <v>81</v>
      </c>
      <c r="H76" s="7" t="s">
        <v>82</v>
      </c>
      <c r="I76" s="7" t="s">
        <v>119</v>
      </c>
      <c r="J76" s="7" t="s">
        <v>857</v>
      </c>
      <c r="K76" s="7" t="s">
        <v>85</v>
      </c>
      <c r="L76" s="7" t="s">
        <v>105</v>
      </c>
      <c r="M76" s="7" t="s">
        <v>87</v>
      </c>
      <c r="N76" s="7"/>
      <c r="O76" s="7"/>
      <c r="P76" s="7" t="s">
        <v>106</v>
      </c>
      <c r="Q76" s="7" t="s">
        <v>858</v>
      </c>
      <c r="R76" s="7" t="s">
        <v>859</v>
      </c>
      <c r="S76" s="7" t="s">
        <v>860</v>
      </c>
      <c r="T76" s="7" t="s">
        <v>92</v>
      </c>
      <c r="U76" s="7"/>
      <c r="V76" s="7"/>
      <c r="W76" s="7"/>
      <c r="X76" s="7"/>
      <c r="Y76" s="7"/>
      <c r="Z76" s="7"/>
      <c r="AA76" s="7"/>
      <c r="AB76" s="7"/>
      <c r="AC76" s="8" t="s">
        <v>861</v>
      </c>
      <c r="AD76" s="7"/>
      <c r="AE76" s="7" t="s">
        <v>862</v>
      </c>
      <c r="AF76" s="7"/>
      <c r="AG76" s="7" t="s">
        <v>863</v>
      </c>
    </row>
    <row r="77" customFormat="false" ht="46.25" hidden="false" customHeight="false" outlineLevel="0" collapsed="false">
      <c r="A77" s="7" t="s">
        <v>864</v>
      </c>
      <c r="B77" s="7" t="s">
        <v>811</v>
      </c>
      <c r="C77" s="7" t="s">
        <v>141</v>
      </c>
      <c r="D77" s="7" t="s">
        <v>98</v>
      </c>
      <c r="E77" s="7" t="s">
        <v>865</v>
      </c>
      <c r="F77" s="7" t="s">
        <v>100</v>
      </c>
      <c r="G77" s="7" t="s">
        <v>81</v>
      </c>
      <c r="H77" s="7" t="s">
        <v>82</v>
      </c>
      <c r="I77" s="7" t="s">
        <v>866</v>
      </c>
      <c r="J77" s="7"/>
      <c r="K77" s="7" t="s">
        <v>85</v>
      </c>
      <c r="L77" s="7" t="s">
        <v>105</v>
      </c>
      <c r="M77" s="7" t="s">
        <v>87</v>
      </c>
      <c r="N77" s="7"/>
      <c r="O77" s="7"/>
      <c r="P77" s="7" t="s">
        <v>106</v>
      </c>
      <c r="Q77" s="7" t="s">
        <v>144</v>
      </c>
      <c r="R77" s="7" t="s">
        <v>867</v>
      </c>
      <c r="S77" s="7" t="s">
        <v>868</v>
      </c>
      <c r="T77" s="7" t="s">
        <v>92</v>
      </c>
      <c r="U77" s="7"/>
      <c r="V77" s="7"/>
      <c r="W77" s="7"/>
      <c r="X77" s="7"/>
      <c r="Y77" s="7"/>
      <c r="Z77" s="7"/>
      <c r="AA77" s="7"/>
      <c r="AB77" s="7"/>
      <c r="AC77" s="8" t="s">
        <v>869</v>
      </c>
      <c r="AD77" s="7" t="s">
        <v>870</v>
      </c>
      <c r="AE77" s="7"/>
      <c r="AF77" s="7"/>
      <c r="AG77" s="7" t="s">
        <v>96</v>
      </c>
    </row>
    <row r="78" customFormat="false" ht="35.05" hidden="false" customHeight="false" outlineLevel="0" collapsed="false">
      <c r="A78" s="7" t="s">
        <v>871</v>
      </c>
      <c r="B78" s="7" t="s">
        <v>811</v>
      </c>
      <c r="C78" s="7" t="s">
        <v>141</v>
      </c>
      <c r="D78" s="7" t="s">
        <v>98</v>
      </c>
      <c r="E78" s="7" t="s">
        <v>872</v>
      </c>
      <c r="F78" s="7" t="s">
        <v>379</v>
      </c>
      <c r="G78" s="7" t="s">
        <v>81</v>
      </c>
      <c r="H78" s="7" t="s">
        <v>82</v>
      </c>
      <c r="I78" s="7" t="s">
        <v>83</v>
      </c>
      <c r="J78" s="7" t="s">
        <v>873</v>
      </c>
      <c r="K78" s="7" t="s">
        <v>85</v>
      </c>
      <c r="L78" s="7" t="s">
        <v>874</v>
      </c>
      <c r="M78" s="7" t="s">
        <v>87</v>
      </c>
      <c r="N78" s="7" t="s">
        <v>490</v>
      </c>
      <c r="O78" s="7"/>
      <c r="P78" s="7" t="s">
        <v>106</v>
      </c>
      <c r="Q78" s="7" t="s">
        <v>144</v>
      </c>
      <c r="R78" s="7" t="s">
        <v>875</v>
      </c>
      <c r="S78" s="7"/>
      <c r="T78" s="7" t="s">
        <v>92</v>
      </c>
      <c r="U78" s="7"/>
      <c r="V78" s="7"/>
      <c r="W78" s="7"/>
      <c r="X78" s="7"/>
      <c r="Y78" s="7"/>
      <c r="Z78" s="7"/>
      <c r="AA78" s="7"/>
      <c r="AB78" s="7"/>
      <c r="AC78" s="8" t="s">
        <v>876</v>
      </c>
      <c r="AD78" s="7"/>
      <c r="AE78" s="7"/>
      <c r="AF78" s="7"/>
      <c r="AG78" s="7" t="s">
        <v>877</v>
      </c>
    </row>
    <row r="79" customFormat="false" ht="35.05" hidden="false" customHeight="false" outlineLevel="0" collapsed="false">
      <c r="A79" s="7" t="s">
        <v>878</v>
      </c>
      <c r="B79" s="7" t="s">
        <v>811</v>
      </c>
      <c r="C79" s="7" t="s">
        <v>141</v>
      </c>
      <c r="D79" s="7" t="s">
        <v>98</v>
      </c>
      <c r="E79" s="7" t="s">
        <v>879</v>
      </c>
      <c r="F79" s="7" t="s">
        <v>80</v>
      </c>
      <c r="G79" s="7" t="s">
        <v>81</v>
      </c>
      <c r="H79" s="7" t="s">
        <v>82</v>
      </c>
      <c r="I79" s="7" t="s">
        <v>83</v>
      </c>
      <c r="J79" s="7" t="s">
        <v>880</v>
      </c>
      <c r="K79" s="7" t="s">
        <v>85</v>
      </c>
      <c r="L79" s="7" t="s">
        <v>881</v>
      </c>
      <c r="M79" s="7" t="s">
        <v>87</v>
      </c>
      <c r="N79" s="7"/>
      <c r="O79" s="7"/>
      <c r="P79" s="7" t="s">
        <v>106</v>
      </c>
      <c r="Q79" s="7" t="s">
        <v>144</v>
      </c>
      <c r="R79" s="7" t="s">
        <v>882</v>
      </c>
      <c r="S79" s="7"/>
      <c r="T79" s="7" t="s">
        <v>92</v>
      </c>
      <c r="U79" s="7"/>
      <c r="V79" s="7"/>
      <c r="W79" s="7"/>
      <c r="X79" s="7"/>
      <c r="Y79" s="7"/>
      <c r="Z79" s="7"/>
      <c r="AA79" s="7"/>
      <c r="AB79" s="7" t="s">
        <v>883</v>
      </c>
      <c r="AC79" s="8" t="s">
        <v>876</v>
      </c>
      <c r="AD79" s="7"/>
      <c r="AE79" s="7"/>
      <c r="AF79" s="7"/>
      <c r="AG79" s="7" t="s">
        <v>884</v>
      </c>
    </row>
    <row r="80" customFormat="false" ht="35.05" hidden="false" customHeight="false" outlineLevel="0" collapsed="false">
      <c r="A80" s="7" t="s">
        <v>885</v>
      </c>
      <c r="B80" s="7" t="s">
        <v>811</v>
      </c>
      <c r="C80" s="7" t="s">
        <v>141</v>
      </c>
      <c r="D80" s="7" t="s">
        <v>98</v>
      </c>
      <c r="E80" s="7" t="s">
        <v>886</v>
      </c>
      <c r="F80" s="7" t="s">
        <v>887</v>
      </c>
      <c r="G80" s="7" t="s">
        <v>81</v>
      </c>
      <c r="H80" s="7" t="s">
        <v>714</v>
      </c>
      <c r="I80" s="7" t="s">
        <v>888</v>
      </c>
      <c r="J80" s="7" t="s">
        <v>889</v>
      </c>
      <c r="K80" s="7" t="s">
        <v>85</v>
      </c>
      <c r="L80" s="7" t="s">
        <v>890</v>
      </c>
      <c r="M80" s="7" t="s">
        <v>891</v>
      </c>
      <c r="N80" s="7" t="s">
        <v>339</v>
      </c>
      <c r="O80" s="7"/>
      <c r="P80" s="7" t="s">
        <v>106</v>
      </c>
      <c r="Q80" s="7" t="s">
        <v>892</v>
      </c>
      <c r="R80" s="7" t="s">
        <v>893</v>
      </c>
      <c r="S80" s="7"/>
      <c r="T80" s="7" t="s">
        <v>92</v>
      </c>
      <c r="U80" s="7"/>
      <c r="V80" s="7"/>
      <c r="W80" s="7"/>
      <c r="X80" s="7"/>
      <c r="Y80" s="7"/>
      <c r="Z80" s="7"/>
      <c r="AA80" s="7"/>
      <c r="AB80" s="7"/>
      <c r="AC80" s="8" t="s">
        <v>894</v>
      </c>
      <c r="AD80" s="7"/>
      <c r="AE80" s="7" t="s">
        <v>895</v>
      </c>
      <c r="AF80" s="7"/>
      <c r="AG80" s="7" t="s">
        <v>896</v>
      </c>
    </row>
    <row r="81" customFormat="false" ht="79.85" hidden="false" customHeight="false" outlineLevel="0" collapsed="false">
      <c r="A81" s="7" t="s">
        <v>897</v>
      </c>
      <c r="B81" s="7" t="s">
        <v>811</v>
      </c>
      <c r="C81" s="7" t="s">
        <v>141</v>
      </c>
      <c r="D81" s="7" t="s">
        <v>98</v>
      </c>
      <c r="E81" s="7" t="s">
        <v>898</v>
      </c>
      <c r="F81" s="7" t="s">
        <v>257</v>
      </c>
      <c r="G81" s="7" t="s">
        <v>81</v>
      </c>
      <c r="H81" s="7" t="s">
        <v>714</v>
      </c>
      <c r="I81" s="7" t="s">
        <v>888</v>
      </c>
      <c r="J81" s="7" t="s">
        <v>899</v>
      </c>
      <c r="K81" s="7" t="s">
        <v>85</v>
      </c>
      <c r="L81" s="7" t="s">
        <v>900</v>
      </c>
      <c r="M81" s="7" t="s">
        <v>87</v>
      </c>
      <c r="N81" s="7" t="s">
        <v>901</v>
      </c>
      <c r="O81" s="7"/>
      <c r="P81" s="7" t="s">
        <v>106</v>
      </c>
      <c r="Q81" s="7" t="s">
        <v>144</v>
      </c>
      <c r="R81" s="7" t="s">
        <v>902</v>
      </c>
      <c r="S81" s="7" t="s">
        <v>756</v>
      </c>
      <c r="T81" s="7" t="s">
        <v>92</v>
      </c>
      <c r="U81" s="7"/>
      <c r="V81" s="7"/>
      <c r="W81" s="7"/>
      <c r="X81" s="7"/>
      <c r="Y81" s="7"/>
      <c r="Z81" s="7"/>
      <c r="AA81" s="7"/>
      <c r="AB81" s="7"/>
      <c r="AC81" s="8" t="s">
        <v>903</v>
      </c>
      <c r="AD81" s="7"/>
      <c r="AE81" s="7" t="s">
        <v>904</v>
      </c>
      <c r="AF81" s="7"/>
      <c r="AG81" s="7" t="s">
        <v>905</v>
      </c>
    </row>
    <row r="82" customFormat="false" ht="57.45" hidden="false" customHeight="false" outlineLevel="0" collapsed="false">
      <c r="A82" s="7" t="s">
        <v>906</v>
      </c>
      <c r="B82" s="7" t="s">
        <v>811</v>
      </c>
      <c r="C82" s="7" t="s">
        <v>141</v>
      </c>
      <c r="D82" s="7" t="s">
        <v>98</v>
      </c>
      <c r="E82" s="7" t="s">
        <v>907</v>
      </c>
      <c r="F82" s="7" t="s">
        <v>80</v>
      </c>
      <c r="G82" s="7" t="s">
        <v>81</v>
      </c>
      <c r="H82" s="7" t="s">
        <v>289</v>
      </c>
      <c r="I82" s="7" t="s">
        <v>732</v>
      </c>
      <c r="J82" s="7"/>
      <c r="K82" s="7" t="s">
        <v>85</v>
      </c>
      <c r="L82" s="7" t="s">
        <v>908</v>
      </c>
      <c r="M82" s="7" t="s">
        <v>87</v>
      </c>
      <c r="N82" s="7"/>
      <c r="O82" s="7"/>
      <c r="P82" s="7" t="s">
        <v>106</v>
      </c>
      <c r="Q82" s="7" t="s">
        <v>144</v>
      </c>
      <c r="R82" s="7" t="s">
        <v>909</v>
      </c>
      <c r="S82" s="7"/>
      <c r="T82" s="7" t="s">
        <v>92</v>
      </c>
      <c r="U82" s="7"/>
      <c r="V82" s="7"/>
      <c r="W82" s="7"/>
      <c r="X82" s="7"/>
      <c r="Y82" s="7"/>
      <c r="Z82" s="7"/>
      <c r="AA82" s="7"/>
      <c r="AB82" s="7"/>
      <c r="AC82" s="8" t="s">
        <v>735</v>
      </c>
      <c r="AD82" s="7" t="s">
        <v>910</v>
      </c>
      <c r="AE82" s="7"/>
      <c r="AF82" s="7"/>
      <c r="AG82" s="7" t="s">
        <v>911</v>
      </c>
    </row>
    <row r="83" customFormat="false" ht="46.25" hidden="false" customHeight="false" outlineLevel="0" collapsed="false">
      <c r="A83" s="7" t="s">
        <v>912</v>
      </c>
      <c r="B83" s="7" t="s">
        <v>811</v>
      </c>
      <c r="C83" s="7" t="s">
        <v>141</v>
      </c>
      <c r="D83" s="7" t="s">
        <v>98</v>
      </c>
      <c r="E83" s="7" t="s">
        <v>913</v>
      </c>
      <c r="F83" s="7" t="s">
        <v>257</v>
      </c>
      <c r="G83" s="7" t="s">
        <v>101</v>
      </c>
      <c r="H83" s="7" t="s">
        <v>102</v>
      </c>
      <c r="I83" s="7" t="s">
        <v>103</v>
      </c>
      <c r="J83" s="7" t="s">
        <v>914</v>
      </c>
      <c r="K83" s="7" t="s">
        <v>85</v>
      </c>
      <c r="L83" s="7" t="s">
        <v>915</v>
      </c>
      <c r="M83" s="7" t="s">
        <v>87</v>
      </c>
      <c r="N83" s="7"/>
      <c r="O83" s="7"/>
      <c r="P83" s="7" t="s">
        <v>106</v>
      </c>
      <c r="Q83" s="7" t="s">
        <v>144</v>
      </c>
      <c r="R83" s="7" t="s">
        <v>916</v>
      </c>
      <c r="S83" s="7" t="s">
        <v>917</v>
      </c>
      <c r="T83" s="7" t="s">
        <v>92</v>
      </c>
      <c r="U83" s="7"/>
      <c r="V83" s="7"/>
      <c r="W83" s="7"/>
      <c r="X83" s="7"/>
      <c r="Y83" s="7"/>
      <c r="Z83" s="7"/>
      <c r="AA83" s="7"/>
      <c r="AB83" s="7" t="s">
        <v>918</v>
      </c>
      <c r="AC83" s="8" t="s">
        <v>919</v>
      </c>
      <c r="AD83" s="7"/>
      <c r="AE83" s="7" t="s">
        <v>920</v>
      </c>
      <c r="AF83" s="7"/>
      <c r="AG83" s="7" t="s">
        <v>921</v>
      </c>
    </row>
    <row r="84" customFormat="false" ht="57.45" hidden="false" customHeight="false" outlineLevel="0" collapsed="false">
      <c r="A84" s="7" t="s">
        <v>922</v>
      </c>
      <c r="B84" s="7" t="s">
        <v>811</v>
      </c>
      <c r="C84" s="7" t="s">
        <v>141</v>
      </c>
      <c r="D84" s="7" t="s">
        <v>98</v>
      </c>
      <c r="E84" s="7" t="s">
        <v>923</v>
      </c>
      <c r="F84" s="7" t="s">
        <v>182</v>
      </c>
      <c r="G84" s="7" t="s">
        <v>101</v>
      </c>
      <c r="H84" s="7" t="s">
        <v>102</v>
      </c>
      <c r="I84" s="7" t="s">
        <v>103</v>
      </c>
      <c r="J84" s="7" t="s">
        <v>924</v>
      </c>
      <c r="K84" s="7" t="s">
        <v>85</v>
      </c>
      <c r="L84" s="7" t="s">
        <v>925</v>
      </c>
      <c r="M84" s="7" t="s">
        <v>87</v>
      </c>
      <c r="N84" s="7"/>
      <c r="O84" s="7"/>
      <c r="P84" s="7" t="s">
        <v>106</v>
      </c>
      <c r="Q84" s="7" t="s">
        <v>144</v>
      </c>
      <c r="R84" s="7" t="s">
        <v>926</v>
      </c>
      <c r="S84" s="7"/>
      <c r="T84" s="7" t="s">
        <v>92</v>
      </c>
      <c r="U84" s="7"/>
      <c r="V84" s="7"/>
      <c r="W84" s="7"/>
      <c r="X84" s="7"/>
      <c r="Y84" s="7"/>
      <c r="Z84" s="7"/>
      <c r="AA84" s="7"/>
      <c r="AB84" s="7"/>
      <c r="AC84" s="8" t="s">
        <v>927</v>
      </c>
      <c r="AD84" s="7"/>
      <c r="AE84" s="7" t="s">
        <v>928</v>
      </c>
      <c r="AF84" s="7"/>
      <c r="AG84" s="7" t="s">
        <v>929</v>
      </c>
    </row>
    <row r="85" customFormat="false" ht="35.05" hidden="false" customHeight="false" outlineLevel="0" collapsed="false">
      <c r="A85" s="7" t="s">
        <v>930</v>
      </c>
      <c r="B85" s="7" t="s">
        <v>811</v>
      </c>
      <c r="C85" s="7" t="s">
        <v>141</v>
      </c>
      <c r="D85" s="7" t="s">
        <v>98</v>
      </c>
      <c r="E85" s="7" t="s">
        <v>931</v>
      </c>
      <c r="F85" s="7" t="s">
        <v>257</v>
      </c>
      <c r="G85" s="7" t="s">
        <v>101</v>
      </c>
      <c r="H85" s="7" t="s">
        <v>428</v>
      </c>
      <c r="I85" s="7" t="s">
        <v>429</v>
      </c>
      <c r="J85" s="7" t="s">
        <v>932</v>
      </c>
      <c r="K85" s="7" t="s">
        <v>85</v>
      </c>
      <c r="L85" s="7" t="s">
        <v>105</v>
      </c>
      <c r="M85" s="7" t="s">
        <v>87</v>
      </c>
      <c r="N85" s="7"/>
      <c r="O85" s="7"/>
      <c r="P85" s="7" t="s">
        <v>106</v>
      </c>
      <c r="Q85" s="7" t="s">
        <v>144</v>
      </c>
      <c r="R85" s="7" t="s">
        <v>933</v>
      </c>
      <c r="S85" s="7"/>
      <c r="T85" s="7" t="s">
        <v>92</v>
      </c>
      <c r="U85" s="7"/>
      <c r="V85" s="7"/>
      <c r="W85" s="7"/>
      <c r="X85" s="7"/>
      <c r="Y85" s="7"/>
      <c r="Z85" s="7"/>
      <c r="AA85" s="7"/>
      <c r="AB85" s="7"/>
      <c r="AC85" s="8" t="s">
        <v>556</v>
      </c>
      <c r="AD85" s="7" t="s">
        <v>934</v>
      </c>
      <c r="AE85" s="7"/>
      <c r="AF85" s="7"/>
      <c r="AG85" s="7" t="s">
        <v>935</v>
      </c>
    </row>
    <row r="86" customFormat="false" ht="46.25" hidden="false" customHeight="false" outlineLevel="0" collapsed="false">
      <c r="A86" s="7" t="s">
        <v>936</v>
      </c>
      <c r="B86" s="7" t="s">
        <v>811</v>
      </c>
      <c r="C86" s="7" t="s">
        <v>141</v>
      </c>
      <c r="D86" s="7" t="s">
        <v>98</v>
      </c>
      <c r="E86" s="7" t="s">
        <v>937</v>
      </c>
      <c r="F86" s="7" t="s">
        <v>100</v>
      </c>
      <c r="G86" s="7" t="s">
        <v>472</v>
      </c>
      <c r="H86" s="7" t="s">
        <v>473</v>
      </c>
      <c r="I86" s="7" t="s">
        <v>474</v>
      </c>
      <c r="J86" s="7" t="s">
        <v>938</v>
      </c>
      <c r="K86" s="7" t="s">
        <v>939</v>
      </c>
      <c r="L86" s="7" t="s">
        <v>105</v>
      </c>
      <c r="M86" s="7" t="s">
        <v>940</v>
      </c>
      <c r="N86" s="7"/>
      <c r="O86" s="7"/>
      <c r="P86" s="7" t="s">
        <v>106</v>
      </c>
      <c r="Q86" s="7" t="s">
        <v>144</v>
      </c>
      <c r="R86" s="7" t="s">
        <v>941</v>
      </c>
      <c r="S86" s="7"/>
      <c r="T86" s="7" t="s">
        <v>92</v>
      </c>
      <c r="U86" s="7"/>
      <c r="V86" s="7"/>
      <c r="W86" s="7"/>
      <c r="X86" s="7"/>
      <c r="Y86" s="7"/>
      <c r="Z86" s="7"/>
      <c r="AA86" s="7"/>
      <c r="AB86" s="7"/>
      <c r="AC86" s="8" t="s">
        <v>942</v>
      </c>
      <c r="AD86" s="7"/>
      <c r="AE86" s="7"/>
      <c r="AF86" s="7"/>
      <c r="AG86" s="7" t="s">
        <v>943</v>
      </c>
    </row>
    <row r="87" customFormat="false" ht="46.25" hidden="false" customHeight="false" outlineLevel="0" collapsed="false">
      <c r="A87" s="7" t="s">
        <v>944</v>
      </c>
      <c r="B87" s="7" t="s">
        <v>811</v>
      </c>
      <c r="C87" s="7" t="s">
        <v>141</v>
      </c>
      <c r="D87" s="7" t="s">
        <v>98</v>
      </c>
      <c r="E87" s="7" t="s">
        <v>945</v>
      </c>
      <c r="F87" s="7" t="s">
        <v>80</v>
      </c>
      <c r="G87" s="7" t="s">
        <v>946</v>
      </c>
      <c r="H87" s="7" t="s">
        <v>947</v>
      </c>
      <c r="I87" s="7" t="s">
        <v>948</v>
      </c>
      <c r="J87" s="7"/>
      <c r="K87" s="7" t="s">
        <v>85</v>
      </c>
      <c r="L87" s="7" t="s">
        <v>105</v>
      </c>
      <c r="M87" s="7" t="s">
        <v>87</v>
      </c>
      <c r="N87" s="7"/>
      <c r="O87" s="7"/>
      <c r="P87" s="7" t="s">
        <v>106</v>
      </c>
      <c r="Q87" s="7" t="s">
        <v>144</v>
      </c>
      <c r="R87" s="7" t="s">
        <v>949</v>
      </c>
      <c r="S87" s="7" t="s">
        <v>950</v>
      </c>
      <c r="T87" s="7" t="s">
        <v>109</v>
      </c>
      <c r="U87" s="7" t="s">
        <v>951</v>
      </c>
      <c r="V87" s="8" t="s">
        <v>952</v>
      </c>
      <c r="W87" s="7"/>
      <c r="X87" s="7"/>
      <c r="Y87" s="7"/>
      <c r="Z87" s="7"/>
      <c r="AA87" s="7"/>
      <c r="AB87" s="7"/>
      <c r="AC87" s="8" t="s">
        <v>952</v>
      </c>
      <c r="AD87" s="7" t="s">
        <v>953</v>
      </c>
      <c r="AE87" s="7"/>
      <c r="AF87" s="7"/>
      <c r="AG87" s="7" t="s">
        <v>96</v>
      </c>
    </row>
    <row r="88" customFormat="false" ht="68.65" hidden="false" customHeight="false" outlineLevel="0" collapsed="false">
      <c r="A88" s="7" t="s">
        <v>954</v>
      </c>
      <c r="B88" s="7" t="s">
        <v>76</v>
      </c>
      <c r="C88" s="7" t="s">
        <v>955</v>
      </c>
      <c r="D88" s="7" t="s">
        <v>78</v>
      </c>
      <c r="E88" s="7" t="s">
        <v>956</v>
      </c>
      <c r="F88" s="7" t="s">
        <v>80</v>
      </c>
      <c r="G88" s="7" t="s">
        <v>81</v>
      </c>
      <c r="H88" s="7" t="s">
        <v>82</v>
      </c>
      <c r="I88" s="7" t="s">
        <v>119</v>
      </c>
      <c r="J88" s="7" t="s">
        <v>957</v>
      </c>
      <c r="K88" s="7" t="s">
        <v>85</v>
      </c>
      <c r="L88" s="7" t="s">
        <v>105</v>
      </c>
      <c r="M88" s="7" t="s">
        <v>87</v>
      </c>
      <c r="N88" s="7"/>
      <c r="O88" s="7"/>
      <c r="P88" s="7" t="s">
        <v>88</v>
      </c>
      <c r="Q88" s="7" t="s">
        <v>144</v>
      </c>
      <c r="R88" s="7" t="s">
        <v>958</v>
      </c>
      <c r="S88" s="7"/>
      <c r="T88" s="7" t="s">
        <v>92</v>
      </c>
      <c r="U88" s="7"/>
      <c r="V88" s="7"/>
      <c r="W88" s="7"/>
      <c r="X88" s="7"/>
      <c r="Y88" s="7"/>
      <c r="Z88" s="7"/>
      <c r="AA88" s="7"/>
      <c r="AB88" s="7"/>
      <c r="AC88" s="8" t="s">
        <v>959</v>
      </c>
      <c r="AD88" s="7"/>
      <c r="AE88" s="7" t="s">
        <v>960</v>
      </c>
      <c r="AF88" s="7"/>
      <c r="AG88" s="7" t="s">
        <v>961</v>
      </c>
    </row>
    <row r="89" customFormat="false" ht="46.25" hidden="false" customHeight="false" outlineLevel="0" collapsed="false">
      <c r="A89" s="7" t="s">
        <v>962</v>
      </c>
      <c r="B89" s="7" t="s">
        <v>76</v>
      </c>
      <c r="C89" s="7" t="s">
        <v>955</v>
      </c>
      <c r="D89" s="7" t="s">
        <v>78</v>
      </c>
      <c r="E89" s="7" t="s">
        <v>963</v>
      </c>
      <c r="F89" s="7" t="s">
        <v>80</v>
      </c>
      <c r="G89" s="7" t="s">
        <v>81</v>
      </c>
      <c r="H89" s="7" t="s">
        <v>82</v>
      </c>
      <c r="I89" s="7" t="s">
        <v>119</v>
      </c>
      <c r="J89" s="7" t="s">
        <v>168</v>
      </c>
      <c r="K89" s="7" t="s">
        <v>85</v>
      </c>
      <c r="L89" s="7" t="s">
        <v>105</v>
      </c>
      <c r="M89" s="7" t="s">
        <v>87</v>
      </c>
      <c r="N89" s="7"/>
      <c r="O89" s="7"/>
      <c r="P89" s="7" t="s">
        <v>88</v>
      </c>
      <c r="Q89" s="7" t="s">
        <v>144</v>
      </c>
      <c r="R89" s="7" t="s">
        <v>964</v>
      </c>
      <c r="S89" s="7"/>
      <c r="T89" s="7" t="s">
        <v>92</v>
      </c>
      <c r="U89" s="7"/>
      <c r="V89" s="7"/>
      <c r="W89" s="7"/>
      <c r="X89" s="7"/>
      <c r="Y89" s="7"/>
      <c r="Z89" s="7"/>
      <c r="AA89" s="7"/>
      <c r="AB89" s="7"/>
      <c r="AC89" s="8" t="s">
        <v>965</v>
      </c>
      <c r="AD89" s="7" t="s">
        <v>177</v>
      </c>
      <c r="AE89" s="7"/>
      <c r="AF89" s="7"/>
      <c r="AG89" s="7" t="s">
        <v>966</v>
      </c>
    </row>
    <row r="90" customFormat="false" ht="57.45" hidden="false" customHeight="false" outlineLevel="0" collapsed="false">
      <c r="A90" s="7" t="s">
        <v>967</v>
      </c>
      <c r="B90" s="7" t="s">
        <v>811</v>
      </c>
      <c r="C90" s="7" t="s">
        <v>955</v>
      </c>
      <c r="D90" s="7" t="s">
        <v>98</v>
      </c>
      <c r="E90" s="7" t="s">
        <v>968</v>
      </c>
      <c r="F90" s="7" t="s">
        <v>257</v>
      </c>
      <c r="G90" s="7" t="s">
        <v>81</v>
      </c>
      <c r="H90" s="7" t="s">
        <v>82</v>
      </c>
      <c r="I90" s="7" t="s">
        <v>119</v>
      </c>
      <c r="J90" s="7" t="s">
        <v>969</v>
      </c>
      <c r="K90" s="7" t="s">
        <v>85</v>
      </c>
      <c r="L90" s="7" t="s">
        <v>105</v>
      </c>
      <c r="M90" s="7" t="s">
        <v>87</v>
      </c>
      <c r="N90" s="7" t="s">
        <v>970</v>
      </c>
      <c r="O90" s="7"/>
      <c r="P90" s="7" t="s">
        <v>106</v>
      </c>
      <c r="Q90" s="7" t="s">
        <v>144</v>
      </c>
      <c r="R90" s="7" t="s">
        <v>971</v>
      </c>
      <c r="S90" s="7"/>
      <c r="T90" s="7" t="s">
        <v>92</v>
      </c>
      <c r="U90" s="7"/>
      <c r="V90" s="7"/>
      <c r="W90" s="7"/>
      <c r="X90" s="7"/>
      <c r="Y90" s="7"/>
      <c r="Z90" s="7"/>
      <c r="AA90" s="7"/>
      <c r="AB90" s="7"/>
      <c r="AC90" s="8" t="s">
        <v>965</v>
      </c>
      <c r="AD90" s="7"/>
      <c r="AE90" s="7" t="s">
        <v>972</v>
      </c>
      <c r="AF90" s="7" t="s">
        <v>973</v>
      </c>
      <c r="AG90" s="7" t="s">
        <v>974</v>
      </c>
    </row>
    <row r="91" customFormat="false" ht="35.05" hidden="false" customHeight="false" outlineLevel="0" collapsed="false">
      <c r="A91" s="7" t="s">
        <v>975</v>
      </c>
      <c r="B91" s="7" t="s">
        <v>811</v>
      </c>
      <c r="C91" s="7" t="s">
        <v>955</v>
      </c>
      <c r="D91" s="7" t="s">
        <v>98</v>
      </c>
      <c r="E91" s="7" t="s">
        <v>976</v>
      </c>
      <c r="F91" s="7" t="s">
        <v>118</v>
      </c>
      <c r="G91" s="7" t="s">
        <v>81</v>
      </c>
      <c r="H91" s="7" t="s">
        <v>714</v>
      </c>
      <c r="I91" s="7" t="s">
        <v>888</v>
      </c>
      <c r="J91" s="7" t="s">
        <v>977</v>
      </c>
      <c r="K91" s="7" t="s">
        <v>978</v>
      </c>
      <c r="L91" s="7" t="s">
        <v>105</v>
      </c>
      <c r="M91" s="7" t="s">
        <v>122</v>
      </c>
      <c r="N91" s="7"/>
      <c r="O91" s="7"/>
      <c r="P91" s="7" t="s">
        <v>123</v>
      </c>
      <c r="Q91" s="7" t="s">
        <v>124</v>
      </c>
      <c r="R91" s="7" t="s">
        <v>979</v>
      </c>
      <c r="S91" s="7" t="s">
        <v>980</v>
      </c>
      <c r="T91" s="7" t="s">
        <v>92</v>
      </c>
      <c r="U91" s="7"/>
      <c r="V91" s="7"/>
      <c r="W91" s="7"/>
      <c r="X91" s="7"/>
      <c r="Y91" s="7"/>
      <c r="Z91" s="7"/>
      <c r="AA91" s="7"/>
      <c r="AB91" s="7"/>
      <c r="AC91" s="8" t="s">
        <v>981</v>
      </c>
      <c r="AD91" s="7"/>
      <c r="AE91" s="7" t="s">
        <v>982</v>
      </c>
      <c r="AF91" s="7"/>
      <c r="AG91" s="7" t="s">
        <v>983</v>
      </c>
    </row>
  </sheetData>
  <autoFilter ref="A1:AG91"/>
  <conditionalFormatting sqref="A2:AG91">
    <cfRule type="expression" priority="2" aboveAverage="0" equalAverage="0" bottom="0" percent="0" rank="0" text="" dxfId="7">
      <formula>$C2="Upcoming / Coming soon"</formula>
    </cfRule>
    <cfRule type="expression" priority="3" aboveAverage="0" equalAverage="0" bottom="0" percent="0" rank="0" text="" dxfId="8">
      <formula>$B2="A"</formula>
    </cfRule>
  </conditionalFormatting>
  <conditionalFormatting sqref="D2:D91">
    <cfRule type="expression" priority="4" aboveAverage="0" equalAverage="0" bottom="0" percent="0" rank="0" text="" dxfId="9">
      <formula>$D2="Premium"</formula>
    </cfRule>
  </conditionalFormatting>
  <hyperlinks>
    <hyperlink ref="AA2" r:id="rId1" display="https://www.reddit.com/r/PuneCoffee/new/"/>
    <hyperlink ref="V3" r:id="rId2" display="https://www.instagram.com/coffeebond/"/>
    <hyperlink ref="AC3" r:id="rId3" display="https://www.instagram.com/coffeebond/"/>
    <hyperlink ref="AC4" r:id="rId4" display="https://www.timeout.com/mumbai/news/boojee-cafe-is-opening-a-new-outlet-at-one-bkc-in-mumbai-082026"/>
    <hyperlink ref="V5" r:id="rId5" display="https://www.instagram.com/cafeserenity_pune/"/>
    <hyperlink ref="AC5" r:id="rId6" display="https://www.instagram.com/cafeserenity_pune/"/>
    <hyperlink ref="V7" r:id="rId7" display="https://www.instagram.com/coffeecapital__/"/>
    <hyperlink ref="AC7" r:id="rId8" display="https://www.restaurantindia.in/news/restaurant-india-news-coffee-capital-launches-in-mumbai-with-34-cover-speciality-caf-format.n15399"/>
    <hyperlink ref="AC8" r:id="rId9" display="https://foodiesofindia.wordpress.com/2026/03/01/new-restaurants-in-mumbai-march-2026-round-up-25-new-openings/"/>
    <hyperlink ref="AC9" r:id="rId10" display="https://foodiesofindia.wordpress.com/2026/08/04/new-restaurants-cafes-in-mumbai-august-2026/"/>
    <hyperlink ref="W10" r:id="rId11" display="https://aspecthospitality.in"/>
    <hyperlink ref="AC10" r:id="rId12" display="https://www.restaurantindia.in/news/aspect-hospitality-expands-fb-portfolio-with-joker-in-bandra.n16905"/>
    <hyperlink ref="V11" r:id="rId13" display="https://www.instagram.com/kink.coffee/"/>
    <hyperlink ref="AC11" r:id="rId14" display="https://foodiesofindia.wordpress.com/2026/01/15/january-2026-30-new-restaurants-cafes-in-mumbai-you-need-to-check-out/"/>
    <hyperlink ref="AC12" r:id="rId15" display="https://foodiesofindia.wordpress.com/2026/08/04/new-restaurants-cafes-in-mumbai-august-2026/"/>
    <hyperlink ref="AC13" r:id="rId16" display="https://foodiesofindia.wordpress.com/2026/04/02/20-new-restaurants-in-mumbai-to-check-out-april-2026/"/>
    <hyperlink ref="V14" r:id="rId17" display="https://www.instagram.com/standbycoffee__/"/>
    <hyperlink ref="AC14" r:id="rId18" display="https://indianretailer.com/news/stand-coffee-expands-mumbai-footprint-new-juhu-outlet"/>
    <hyperlink ref="AC15" r:id="rId19" display="https://www.restaurantindia.in/news/thought-coffee-opens-bandra-flagship-as-mumbai-quick-service-coffee-market-expands.n17296"/>
    <hyperlink ref="AC16" r:id="rId20" display="https://foodiesofindia.wordpress.com/2026/06/01/june-2026-new-restaurants-in-mumbai-you-need-to-visit/"/>
    <hyperlink ref="V17" r:id="rId21" display="https://www.instagram.com/cafelento.in/"/>
    <hyperlink ref="AC17" r:id="rId22" display="https://yourstory.com/ys-life/the-second-house-goa-lento-cafe"/>
    <hyperlink ref="V18" r:id="rId23" display="https://www.instagram.com/momoka.india/"/>
    <hyperlink ref="AC18" r:id="rId24" display="https://www.restaurantindia.in/news/momoka-opens-japanese-kissaten-inspired-caf-on-punes-prabhat-road.n16884"/>
    <hyperlink ref="AC19" r:id="rId25" display="https://www.district.in/blog/speciality-coffee-cafes-goa"/>
    <hyperlink ref="V20" r:id="rId26" display="https://www.instagram.com/moreovercoffee_india/"/>
    <hyperlink ref="AC20" r:id="rId27" display="https://www.instagram.com/moreovercoffee_india/"/>
    <hyperlink ref="V21" r:id="rId28" display="https://www.instagram.com/carbon.jaipur/"/>
    <hyperlink ref="AC21" r:id="rId29" display="https://www.restaurantindia.in/news/carbon-opens-third-caf-in-jaipur-with-new-vaishali-nagar-outlet.n16924"/>
    <hyperlink ref="AC22" r:id="rId30" display="https://thenodmag.com/content/jacobs-brew-house-jaipur-cafe-coffee-house-review"/>
    <hyperlink ref="AA23" r:id="rId31" display="https://www.eazydiner.com/jaipur/traut-coffee-house-vidhyut-nagar-jaipur-719695"/>
    <hyperlink ref="AC23" r:id="rId32" display="https://www.outlooktraveller.com/ot-pours/traut-coffee-house-opens-doors-as-jaipurs-newest-coffee-hotspot"/>
    <hyperlink ref="AC24" r:id="rId33" display="https://www.thelabmagofficial.com/new-restaurants-cafes-and-bars-to-try-across-india-this-september/"/>
    <hyperlink ref="AC25" r:id="rId34" display="https://thenodmag.com/content/the-drop-hauz-khas-delhi-indian-specialty-coffee-roastery-review"/>
    <hyperlink ref="V26" r:id="rId35" display="https://www.instagram.com/ingoodcoindia/"/>
    <hyperlink ref="AC26" r:id="rId36" display="https://thenodmag.com/content/where-to-eat-this-june-in-delhi-ncr"/>
    <hyperlink ref="W27" r:id="rId37" display="https://passcodehospitality.com/drop"/>
    <hyperlink ref="AC27" r:id="rId38" display="https://www.outlooktraveller.com/ot-pours/drop-in-at-the-drop-and-find-your-jaws-dropped"/>
    <hyperlink ref="AC28" r:id="rId39" display="https://www.outlooktraveller.com/ot-pours"/>
    <hyperlink ref="V29" r:id="rId40" display="https://www.instagram.com/ate_altogetherexperimental/"/>
    <hyperlink ref="AC29" r:id="rId41" display="https://thenodmag.com/content/new-restaurants-bars-menus-delhi-may-2026"/>
    <hyperlink ref="AC30" r:id="rId42" display="https://www.restaurantindia.in/news/oro-opens-flagship-specialty-coffee-caf-in-gurugram.n17284"/>
    <hyperlink ref="AC31" r:id="rId43" display="https://www.knocksense.com/lucknow/5-new-coffee-spots-in-lucknow-worth-adding-to-your-caf%C3%A9-hopping-list"/>
    <hyperlink ref="AC32" r:id="rId44" display="https://www.knocksense.com/lucknow/5-new-coffee-spots-in-lucknow-worth-adding-to-your-caf%C3%A9-hopping-list"/>
    <hyperlink ref="AC33" r:id="rId45" display="https://t2online.in/goodlife/food-beverage/flameback-cafe---kitchen-is-where-global-flavours-pair-up-with-world-coffee--t2-checked-it-out/2001719"/>
    <hyperlink ref="AC34" r:id="rId46" display="https://www.restaurantindia.in/news/restaurant-india-news-brev-opens-new-flagship-caf-in-bandra-expands-community-focused-coffee-concept.n16397"/>
    <hyperlink ref="V35" r:id="rId47" display="https://www.instagram.com/cocoaandkatli/"/>
    <hyperlink ref="AC35" r:id="rId48" display="https://aninews.in/news/business/harsh-kedia-and-arihant-jain-launch-cocoa-amp-katli-a-caf233-that-redefines-mindful-indulgence-for-the-conscious-mumbaikar20261021121947/"/>
    <hyperlink ref="AC36" r:id="rId49" display="https://www.restaurantindia.in/news/restaurant-india-news-javaphile-caf-opens-in-worli-mumbai.n14931"/>
    <hyperlink ref="AC37" r:id="rId50" display="https://foodiesofindia.wordpress.com/2026/04/02/20-new-restaurants-in-mumbai-to-check-out-april-2026/"/>
    <hyperlink ref="AC38" r:id="rId51" display="https://indianretailer.com/news/rola-opens-new-all-day-diner-bandra"/>
    <hyperlink ref="AC39" r:id="rId52" display="https://oteats.outlooktraveller.com/features/guides/jaipur-is-entering-its-coffee-smart-era-and-these-spots-prove-it"/>
    <hyperlink ref="AC40" r:id="rId53" display="https://www.oteats.outlooktraveller.com/features/guides/delhis-newest-openings-that-you-must-look-out-for-this-february"/>
    <hyperlink ref="AC41" r:id="rId54" display="https://www.thelabmagofficial.com/new-tables-for-october-the-delhi-ncr-restaurants-cafes-and-bars-to-try/"/>
    <hyperlink ref="AC42" r:id="rId55" display="https://www.thelabmagofficial.com/new-restaurants-cafes-and-bars-to-try-across-india-this-september/"/>
    <hyperlink ref="AC43" r:id="rId56" display="https://www.restaurantindia.in/news/restaurant-india-news-kokoy-launches-caf-in-gurugram-enters-premium-all-day-dining-segment.n14880"/>
    <hyperlink ref="AC44" r:id="rId57" display="https://www.thelabmagofficial.com/new-tables-for-october-the-delhi-ncr-restaurants-cafes-and-bars-to-try/"/>
    <hyperlink ref="AC45" r:id="rId58" display="https://www.knocksense.com/lucknow/5-new-coffee-spots-in-lucknow-worth-adding-to-your-caf%C3%A9-hopping-list"/>
    <hyperlink ref="AC46" r:id="rId59" display="https://realtynmore.com/batter-bar-coffee-cafe-at-cp67-mohali/"/>
    <hyperlink ref="V47" r:id="rId60" display="https://www.instagram.com/brewhaus.ranchi/"/>
    <hyperlink ref="AC47" r:id="rId61" display="https://www.instagram.com/brewhaus.ranchi/"/>
    <hyperlink ref="AC48" r:id="rId62" display="https://www.indianretailer.com/news/cafe-quattro-opens-second-mumbai-cafe-mumbai"/>
    <hyperlink ref="AC49" r:id="rId63" display="https://www.mansworldindia.com/lifestyle/mw-restaurant-update-every-place-you-need-to-check-out-in-mumbai-right-now"/>
    <hyperlink ref="AC50" r:id="rId64" display="https://foodiesofindia.wordpress.com/2026/01/15/january-2026-30-new-restaurants-cafes-in-mumbai-you-need-to-check-out/"/>
    <hyperlink ref="AC51" r:id="rId65" display="https://www.esquireindia.co.in/food-and-drinks/what-to-eat/from-rola-to-the-mahjong-club-9-new-restaurants-and-caf%C3%A9s-in-mumbai-to-try-this-september"/>
    <hyperlink ref="AC52" r:id="rId66" display="https://foodiesofindia.wordpress.com/2026/02/01/february-2026-new-restaurants-in-mumbai-you-need-to-try/"/>
    <hyperlink ref="AC53" r:id="rId67" display="https://www.restaurantindia.in/news/notfar-opens-in-bandra-with-specialty-cookies-cupcakes-and-coffee.n16686"/>
    <hyperlink ref="V54" r:id="rId68" display="https://www.instagram.com/namah.mumbai/"/>
    <hyperlink ref="AC54" r:id="rId69" display="https://foodiesofindia.wordpress.com/2026/06/01/june-2026-new-restaurants-in-mumbai-you-need-to-visit/"/>
    <hyperlink ref="AC55" r:id="rId70" display="https://www.thestylelist.in/post/new-restaurants-cafes-bars-india"/>
    <hyperlink ref="AC56" r:id="rId71" display="https://foodiesofindia.wordpress.com/tag/new-restaurants-in-mumbai/"/>
    <hyperlink ref="AC57" r:id="rId72" display="https://www.esquireindia.co.in/food-and-drinks/what-to-eat/from-rola-to-the-mahjong-club-9-new-restaurants-and-caf%C3%A9s-in-mumbai-to-try-this-september"/>
    <hyperlink ref="AC58" r:id="rId73" display="https://www.thestylelist.in/post/new-restaurants-cafes-bars-india"/>
    <hyperlink ref="AC59" r:id="rId74" display="https://www.restaurantindia.in/news/vanilla-miel-opens-second-mumbai-caf-at-lodha-signet-lower-parel.n17346"/>
    <hyperlink ref="W60" r:id="rId75" display="https://crushcoffee.vercel.app/"/>
    <hyperlink ref="AC60" r:id="rId76" display="https://crushcoffee.vercel.app/"/>
    <hyperlink ref="AC61" r:id="rId77" display="https://www.restaurantindia.in/news/restaurant-india-news-aami-caf-bistro-opens-its-doors-in-candolim-goa.n16290"/>
    <hyperlink ref="AC62" r:id="rId78" display="https://travellerscoop.com/must-try-new-restaurants-in-goa-openings/"/>
    <hyperlink ref="AC63" r:id="rId79" display="https://oteats.outlooktraveller.com/features/guides/jaipur-is-entering-its-coffee-smart-era-and-these-spots-prove-it"/>
    <hyperlink ref="AC64" r:id="rId80" display="https://www.thelabmagofficial.com/best-new-restaurants-cafes-bars-in-india-to-visit-in-august-2026/"/>
    <hyperlink ref="AC65" r:id="rId81" display="https://www.worldcoffeeportal.com/news/indias-fes-cafe-appoints-former-blue-tokai-executive-following-1m-fundraise/"/>
    <hyperlink ref="AC66" r:id="rId82" display="https://www.thelabmagofficial.com/new-tables-for-october-the-delhi-ncr-restaurants-cafes-and-bars-to-try/"/>
    <hyperlink ref="AC67" r:id="rId83" display="https://lbb.in/delhi/best-restaurants-cafes-delhi/"/>
    <hyperlink ref="AC68" r:id="rId84" display="https://indianretailer.com/news/butterhands-makes-delhi-ncr-debut-flagship-store-saket"/>
    <hyperlink ref="AC69" r:id="rId85" display="https://www.knocksense.com/lucknow/5-new-coffee-spots-in-lucknow-worth-adding-to-your-caf%C3%A9-hopping-list"/>
    <hyperlink ref="AC70" r:id="rId86" display="https://zipbiz.in/hidden-cafes-chandigarh-mohali/"/>
    <hyperlink ref="AC71" r:id="rId87" display="https://www.timeout.com/mumbai/news/angry-toast-bandras-new-sandwich-shop-has-its-own-coffee-roastery-071626"/>
    <hyperlink ref="AC72" r:id="rId88" display="https://foodiesofindia.wordpress.com/2026/08/04/new-restaurants-cafes-in-mumbai-august-2026/"/>
    <hyperlink ref="AC73" r:id="rId89" display="https://foodiesofindia.wordpress.com/2026/02/01/february-2026-new-restaurants-in-mumbai-you-need-to-try/"/>
    <hyperlink ref="AC74" r:id="rId90" display="https://foodiesofindia.wordpress.com/2026/07/01/new-restaurants-in-mumbai-july-2026-roundup/"/>
    <hyperlink ref="AC75" r:id="rId91" display="https://foodiesofindia.wordpress.com/2026/08/04/new-restaurants-cafes-in-mumbai-august-2026/"/>
    <hyperlink ref="AC76" r:id="rId92" display="https://curlytales.com/india/food/new-mumbai-restaurants-in-october-youll-want-to-tell-your-friends-about/"/>
    <hyperlink ref="AC77" r:id="rId93" display="https://in.linkedin.com/jobs/cafe-jobs-pune"/>
    <hyperlink ref="AC78" r:id="rId94" display="https://curlytales.com/india/food/victorian-themed-cafe-to-k-drama-like-eatery-new-restaurants-to-try-in-pune-this-february/"/>
    <hyperlink ref="AC79" r:id="rId95" display="https://curlytales.com/india/food/victorian-themed-cafe-to-k-drama-like-eatery-new-restaurants-to-try-in-pune-this-february/"/>
    <hyperlink ref="AC80" r:id="rId96" display="https://www.knocksense.com/ahmedabad/9-new-restaurants-in-ahmedabad-bringing-fresh-flavours-to-the-table"/>
    <hyperlink ref="AC81" r:id="rId97" display="https://curlytales.com/india/food/enjoy-different-vibes-under-one-roof-at-ahmedabads-new-cafe-insitu/"/>
    <hyperlink ref="AC82" r:id="rId98" display="https://travellerscoop.com/must-try-new-restaurants-in-goa-openings/"/>
    <hyperlink ref="AC83" r:id="rId99" display="https://thenodmag.com/content/delhi-ncr-new-restaurants-bars-food-menus-july-2026"/>
    <hyperlink ref="AC84" r:id="rId100" display="https://thenodmag.com/content/new-restaurants-bars-openings-february-2026-mumbai-delhi-bengaluru-goa"/>
    <hyperlink ref="AC85" r:id="rId101" display="https://www.thelabmagofficial.com/new-tables-for-october-the-delhi-ncr-restaurants-cafes-and-bars-to-try/"/>
    <hyperlink ref="AC86" r:id="rId102" display="https://t2online.in/goodlife/food-beverage/whizz-coffee-from-craft-coffee-box-is-brewing-a-new-sip-culture-where-artisanal-cups-meet-affordable-prices/2008421"/>
    <hyperlink ref="V87" r:id="rId103" display="https://www.instagram.com/cafe138_/"/>
    <hyperlink ref="AC87" r:id="rId104" display="https://www.instagram.com/cafe138_/"/>
    <hyperlink ref="AC88" r:id="rId105" display="https://foodiesofindia.wordpress.com/2025/11/03/25-new-restaurants-cafes-in-mumbai-you-need-to-try-this-november-2025/"/>
    <hyperlink ref="AC89" r:id="rId106" display="https://foodiesofindia.wordpress.com/2025/10/01/25-new-restaurants-cafes-to-check-out-in-mumbai-this-october-2025/"/>
    <hyperlink ref="AC90" r:id="rId107" display="https://foodiesofindia.wordpress.com/2025/10/01/25-new-restaurants-cafes-to-check-out-in-mumbai-this-october-2025/"/>
    <hyperlink ref="AC91" r:id="rId108" display="https://curlytales.com/india/food/cafe-hoppers-rejoice-gujarats-biggest-cafe-komo-by-kaffa-opens-in-ahmedaba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8"/>
    <col collapsed="false" customWidth="true" hidden="false" outlineLevel="0" max="4" min="4" style="0" width="9"/>
    <col collapsed="false" customWidth="true" hidden="false" outlineLevel="0" max="5" min="5" style="0" width="30"/>
    <col collapsed="false" customWidth="true" hidden="false" outlineLevel="0" max="6" min="6" style="0" width="22"/>
    <col collapsed="false" customWidth="true" hidden="false" outlineLevel="0" max="7" min="7" style="0" width="10"/>
    <col collapsed="false" customWidth="true" hidden="false" outlineLevel="0" max="8" min="8" style="0" width="14"/>
    <col collapsed="false" customWidth="true" hidden="false" outlineLevel="0" max="9" min="9" style="0" width="16"/>
    <col collapsed="false" customWidth="true" hidden="false" outlineLevel="0" max="10" min="10" style="0" width="32"/>
    <col collapsed="false" customWidth="true" hidden="false" outlineLevel="0" max="11" min="11" style="0" width="14"/>
    <col collapsed="false" customWidth="true" hidden="false" outlineLevel="0" max="12" min="12" style="0" width="50"/>
    <col collapsed="false" customWidth="true" hidden="false" outlineLevel="0" max="13" min="13" style="0" width="32"/>
    <col collapsed="false" customWidth="true" hidden="false" outlineLevel="0" max="14" min="14" style="0" width="22"/>
    <col collapsed="false" customWidth="true" hidden="false" outlineLevel="0" max="15" min="15" style="0" width="40"/>
    <col collapsed="false" customWidth="true" hidden="false" outlineLevel="0" max="16" min="16" style="0" width="45"/>
    <col collapsed="false" customWidth="true" hidden="false" outlineLevel="0" max="17" min="17" style="0" width="55"/>
    <col collapsed="false" customWidth="true" hidden="false" outlineLevel="0" max="18" min="18" style="0" width="60"/>
    <col collapsed="false" customWidth="true" hidden="false" outlineLevel="0" max="19" min="19" style="0" width="40"/>
    <col collapsed="false" customWidth="true" hidden="false" outlineLevel="0" max="20" min="20" style="0" width="16"/>
    <col collapsed="false" customWidth="true" hidden="false" outlineLevel="0" max="21" min="21" style="0" width="24"/>
    <col collapsed="false" customWidth="true" hidden="false" outlineLevel="0" max="22" min="22" style="0" width="34"/>
    <col collapsed="false" customWidth="true" hidden="false" outlineLevel="0" max="23" min="23" style="0" width="30"/>
    <col collapsed="false" customWidth="true" hidden="false" outlineLevel="0" max="24" min="24" style="0" width="28"/>
    <col collapsed="false" customWidth="true" hidden="false" outlineLevel="0" max="25" min="25" style="0" width="22"/>
    <col collapsed="false" customWidth="true" hidden="false" outlineLevel="0" max="26" min="26" style="0" width="30"/>
    <col collapsed="false" customWidth="true" hidden="false" outlineLevel="0" max="27" min="27" style="0" width="34"/>
    <col collapsed="false" customWidth="true" hidden="false" outlineLevel="0" max="28" min="28" style="0" width="30"/>
    <col collapsed="false" customWidth="true" hidden="false" outlineLevel="0" max="29" min="29" style="0" width="45"/>
    <col collapsed="false" customWidth="true" hidden="false" outlineLevel="0" max="30" min="30" style="0" width="40"/>
    <col collapsed="false" customWidth="true" hidden="false" outlineLevel="0" max="31" min="31" style="0" width="60"/>
    <col collapsed="false" customWidth="true" hidden="false" outlineLevel="0" max="32" min="32" style="0" width="30"/>
    <col collapsed="false" customWidth="true" hidden="false" outlineLevel="0" max="33" min="33" style="0" width="45"/>
  </cols>
  <sheetData>
    <row r="1" customFormat="false" ht="30" hidden="false" customHeight="true" outlineLevel="0" collapsed="false">
      <c r="A1" s="6" t="s">
        <v>42</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6" t="s">
        <v>61</v>
      </c>
      <c r="U1" s="6" t="s">
        <v>62</v>
      </c>
      <c r="V1" s="6" t="s">
        <v>63</v>
      </c>
      <c r="W1" s="6" t="s">
        <v>64</v>
      </c>
      <c r="X1" s="6" t="s">
        <v>65</v>
      </c>
      <c r="Y1" s="6" t="s">
        <v>66</v>
      </c>
      <c r="Z1" s="6" t="s">
        <v>67</v>
      </c>
      <c r="AA1" s="6" t="s">
        <v>68</v>
      </c>
      <c r="AB1" s="6" t="s">
        <v>69</v>
      </c>
      <c r="AC1" s="6" t="s">
        <v>70</v>
      </c>
      <c r="AD1" s="6" t="s">
        <v>71</v>
      </c>
      <c r="AE1" s="6" t="s">
        <v>72</v>
      </c>
      <c r="AF1" s="6" t="s">
        <v>73</v>
      </c>
      <c r="AG1" s="6" t="s">
        <v>74</v>
      </c>
    </row>
    <row r="2" customFormat="false" ht="35.05" hidden="false" customHeight="false" outlineLevel="0" collapsed="false">
      <c r="A2" s="7" t="s">
        <v>984</v>
      </c>
      <c r="B2" s="7" t="s">
        <v>116</v>
      </c>
      <c r="C2" s="7" t="s">
        <v>985</v>
      </c>
      <c r="D2" s="7" t="s">
        <v>98</v>
      </c>
      <c r="E2" s="7" t="s">
        <v>986</v>
      </c>
      <c r="F2" s="7" t="s">
        <v>80</v>
      </c>
      <c r="G2" s="7" t="s">
        <v>81</v>
      </c>
      <c r="H2" s="7" t="s">
        <v>82</v>
      </c>
      <c r="I2" s="7" t="s">
        <v>987</v>
      </c>
      <c r="J2" s="7"/>
      <c r="K2" s="7" t="s">
        <v>85</v>
      </c>
      <c r="L2" s="7" t="s">
        <v>105</v>
      </c>
      <c r="M2" s="7" t="s">
        <v>87</v>
      </c>
      <c r="N2" s="7"/>
      <c r="O2" s="7"/>
      <c r="P2" s="7" t="s">
        <v>106</v>
      </c>
      <c r="Q2" s="7" t="s">
        <v>988</v>
      </c>
      <c r="R2" s="7" t="s">
        <v>989</v>
      </c>
      <c r="S2" s="7" t="s">
        <v>990</v>
      </c>
      <c r="T2" s="7" t="s">
        <v>109</v>
      </c>
      <c r="U2" s="7" t="s">
        <v>991</v>
      </c>
      <c r="V2" s="8" t="s">
        <v>992</v>
      </c>
      <c r="W2" s="7"/>
      <c r="X2" s="7"/>
      <c r="Y2" s="7"/>
      <c r="Z2" s="7"/>
      <c r="AA2" s="7"/>
      <c r="AB2" s="7"/>
      <c r="AC2" s="8" t="s">
        <v>992</v>
      </c>
      <c r="AD2" s="7"/>
      <c r="AE2" s="7"/>
      <c r="AF2" s="7"/>
      <c r="AG2" s="7"/>
    </row>
    <row r="3" customFormat="false" ht="35.05" hidden="false" customHeight="false" outlineLevel="0" collapsed="false">
      <c r="A3" s="7" t="s">
        <v>993</v>
      </c>
      <c r="B3" s="7" t="s">
        <v>811</v>
      </c>
      <c r="C3" s="7" t="s">
        <v>985</v>
      </c>
      <c r="D3" s="7" t="s">
        <v>98</v>
      </c>
      <c r="E3" s="7" t="s">
        <v>994</v>
      </c>
      <c r="F3" s="7" t="s">
        <v>80</v>
      </c>
      <c r="G3" s="7" t="s">
        <v>81</v>
      </c>
      <c r="H3" s="7" t="s">
        <v>82</v>
      </c>
      <c r="I3" s="7" t="s">
        <v>987</v>
      </c>
      <c r="J3" s="7" t="s">
        <v>995</v>
      </c>
      <c r="K3" s="7" t="s">
        <v>85</v>
      </c>
      <c r="L3" s="7" t="s">
        <v>105</v>
      </c>
      <c r="M3" s="7" t="s">
        <v>87</v>
      </c>
      <c r="N3" s="7" t="s">
        <v>996</v>
      </c>
      <c r="O3" s="7"/>
      <c r="P3" s="7" t="s">
        <v>106</v>
      </c>
      <c r="Q3" s="7" t="s">
        <v>988</v>
      </c>
      <c r="R3" s="7" t="s">
        <v>997</v>
      </c>
      <c r="S3" s="7" t="s">
        <v>756</v>
      </c>
      <c r="T3" s="7" t="s">
        <v>189</v>
      </c>
      <c r="U3" s="7"/>
      <c r="V3" s="7"/>
      <c r="W3" s="8" t="s">
        <v>998</v>
      </c>
      <c r="X3" s="7"/>
      <c r="Y3" s="7"/>
      <c r="Z3" s="7"/>
      <c r="AA3" s="7"/>
      <c r="AB3" s="7"/>
      <c r="AC3" s="8" t="s">
        <v>999</v>
      </c>
      <c r="AD3" s="7"/>
      <c r="AE3" s="7"/>
      <c r="AF3" s="7" t="s">
        <v>1000</v>
      </c>
      <c r="AG3" s="7" t="s">
        <v>1001</v>
      </c>
    </row>
    <row r="4" customFormat="false" ht="35.05" hidden="false" customHeight="false" outlineLevel="0" collapsed="false">
      <c r="A4" s="7" t="s">
        <v>1002</v>
      </c>
      <c r="B4" s="7" t="s">
        <v>811</v>
      </c>
      <c r="C4" s="7" t="s">
        <v>985</v>
      </c>
      <c r="D4" s="7" t="s">
        <v>98</v>
      </c>
      <c r="E4" s="7" t="s">
        <v>1003</v>
      </c>
      <c r="F4" s="7" t="s">
        <v>379</v>
      </c>
      <c r="G4" s="7" t="s">
        <v>81</v>
      </c>
      <c r="H4" s="7" t="s">
        <v>82</v>
      </c>
      <c r="I4" s="7" t="s">
        <v>987</v>
      </c>
      <c r="J4" s="7" t="s">
        <v>1004</v>
      </c>
      <c r="K4" s="7" t="s">
        <v>85</v>
      </c>
      <c r="L4" s="7" t="s">
        <v>105</v>
      </c>
      <c r="M4" s="7" t="s">
        <v>87</v>
      </c>
      <c r="N4" s="7"/>
      <c r="O4" s="7"/>
      <c r="P4" s="7" t="s">
        <v>106</v>
      </c>
      <c r="Q4" s="7" t="s">
        <v>988</v>
      </c>
      <c r="R4" s="7" t="s">
        <v>1005</v>
      </c>
      <c r="S4" s="7"/>
      <c r="T4" s="7" t="s">
        <v>109</v>
      </c>
      <c r="U4" s="7" t="s">
        <v>1006</v>
      </c>
      <c r="V4" s="8" t="s">
        <v>1007</v>
      </c>
      <c r="W4" s="7"/>
      <c r="X4" s="7"/>
      <c r="Y4" s="7"/>
      <c r="Z4" s="7"/>
      <c r="AA4" s="7"/>
      <c r="AB4" s="7"/>
      <c r="AC4" s="8" t="s">
        <v>1007</v>
      </c>
      <c r="AD4" s="7" t="s">
        <v>177</v>
      </c>
      <c r="AE4" s="7"/>
      <c r="AF4" s="7"/>
      <c r="AG4" s="7"/>
    </row>
    <row r="5" customFormat="false" ht="35.05" hidden="false" customHeight="false" outlineLevel="0" collapsed="false">
      <c r="A5" s="7" t="s">
        <v>1008</v>
      </c>
      <c r="B5" s="7" t="s">
        <v>811</v>
      </c>
      <c r="C5" s="7" t="s">
        <v>985</v>
      </c>
      <c r="D5" s="7" t="s">
        <v>98</v>
      </c>
      <c r="E5" s="7" t="s">
        <v>1009</v>
      </c>
      <c r="F5" s="7" t="s">
        <v>80</v>
      </c>
      <c r="G5" s="7" t="s">
        <v>81</v>
      </c>
      <c r="H5" s="7" t="s">
        <v>82</v>
      </c>
      <c r="I5" s="7" t="s">
        <v>1010</v>
      </c>
      <c r="J5" s="7" t="s">
        <v>1011</v>
      </c>
      <c r="K5" s="7" t="s">
        <v>85</v>
      </c>
      <c r="L5" s="7" t="s">
        <v>1012</v>
      </c>
      <c r="M5" s="7" t="s">
        <v>87</v>
      </c>
      <c r="N5" s="7"/>
      <c r="O5" s="7"/>
      <c r="P5" s="7" t="s">
        <v>106</v>
      </c>
      <c r="Q5" s="7" t="s">
        <v>988</v>
      </c>
      <c r="R5" s="7" t="s">
        <v>1013</v>
      </c>
      <c r="S5" s="7" t="s">
        <v>756</v>
      </c>
      <c r="T5" s="7" t="s">
        <v>1014</v>
      </c>
      <c r="U5" s="7"/>
      <c r="V5" s="7"/>
      <c r="W5" s="8" t="s">
        <v>1015</v>
      </c>
      <c r="X5" s="7"/>
      <c r="Y5" s="7" t="s">
        <v>1016</v>
      </c>
      <c r="Z5" s="7"/>
      <c r="AA5" s="7"/>
      <c r="AB5" s="7"/>
      <c r="AC5" s="8" t="s">
        <v>1015</v>
      </c>
      <c r="AD5" s="7"/>
      <c r="AE5" s="7" t="s">
        <v>1017</v>
      </c>
      <c r="AF5" s="7" t="s">
        <v>1018</v>
      </c>
      <c r="AG5" s="7" t="s">
        <v>1019</v>
      </c>
    </row>
    <row r="6" customFormat="false" ht="23.85" hidden="false" customHeight="false" outlineLevel="0" collapsed="false">
      <c r="A6" s="7" t="s">
        <v>1020</v>
      </c>
      <c r="B6" s="7" t="s">
        <v>811</v>
      </c>
      <c r="C6" s="7" t="s">
        <v>985</v>
      </c>
      <c r="D6" s="7" t="s">
        <v>98</v>
      </c>
      <c r="E6" s="7" t="s">
        <v>1021</v>
      </c>
      <c r="F6" s="7" t="s">
        <v>80</v>
      </c>
      <c r="G6" s="7" t="s">
        <v>81</v>
      </c>
      <c r="H6" s="7" t="s">
        <v>82</v>
      </c>
      <c r="I6" s="7" t="s">
        <v>1010</v>
      </c>
      <c r="J6" s="7" t="s">
        <v>1022</v>
      </c>
      <c r="K6" s="7" t="s">
        <v>85</v>
      </c>
      <c r="L6" s="7" t="s">
        <v>1023</v>
      </c>
      <c r="M6" s="7" t="s">
        <v>87</v>
      </c>
      <c r="N6" s="7"/>
      <c r="O6" s="7"/>
      <c r="P6" s="7" t="s">
        <v>106</v>
      </c>
      <c r="Q6" s="7" t="s">
        <v>988</v>
      </c>
      <c r="R6" s="7" t="s">
        <v>1024</v>
      </c>
      <c r="S6" s="7"/>
      <c r="T6" s="7" t="s">
        <v>109</v>
      </c>
      <c r="U6" s="7" t="s">
        <v>1025</v>
      </c>
      <c r="V6" s="8" t="s">
        <v>1026</v>
      </c>
      <c r="W6" s="7"/>
      <c r="X6" s="7"/>
      <c r="Y6" s="7" t="s">
        <v>1027</v>
      </c>
      <c r="Z6" s="7"/>
      <c r="AA6" s="7"/>
      <c r="AB6" s="7"/>
      <c r="AC6" s="8" t="s">
        <v>1026</v>
      </c>
      <c r="AD6" s="7"/>
      <c r="AE6" s="7"/>
      <c r="AF6" s="7"/>
      <c r="AG6" s="7" t="s">
        <v>96</v>
      </c>
    </row>
    <row r="7" customFormat="false" ht="23.85" hidden="false" customHeight="false" outlineLevel="0" collapsed="false">
      <c r="A7" s="7" t="s">
        <v>1028</v>
      </c>
      <c r="B7" s="7" t="s">
        <v>811</v>
      </c>
      <c r="C7" s="7" t="s">
        <v>985</v>
      </c>
      <c r="D7" s="7" t="s">
        <v>98</v>
      </c>
      <c r="E7" s="7" t="s">
        <v>1029</v>
      </c>
      <c r="F7" s="7" t="s">
        <v>80</v>
      </c>
      <c r="G7" s="7" t="s">
        <v>81</v>
      </c>
      <c r="H7" s="7" t="s">
        <v>82</v>
      </c>
      <c r="I7" s="7" t="s">
        <v>1010</v>
      </c>
      <c r="J7" s="7" t="s">
        <v>1030</v>
      </c>
      <c r="K7" s="7" t="s">
        <v>85</v>
      </c>
      <c r="L7" s="7" t="s">
        <v>1031</v>
      </c>
      <c r="M7" s="7" t="s">
        <v>87</v>
      </c>
      <c r="N7" s="7"/>
      <c r="O7" s="7"/>
      <c r="P7" s="7" t="s">
        <v>106</v>
      </c>
      <c r="Q7" s="7" t="s">
        <v>988</v>
      </c>
      <c r="R7" s="7" t="s">
        <v>1032</v>
      </c>
      <c r="S7" s="7"/>
      <c r="T7" s="7" t="s">
        <v>109</v>
      </c>
      <c r="U7" s="7" t="s">
        <v>1033</v>
      </c>
      <c r="V7" s="8" t="s">
        <v>1034</v>
      </c>
      <c r="W7" s="7"/>
      <c r="X7" s="7"/>
      <c r="Y7" s="7" t="s">
        <v>1035</v>
      </c>
      <c r="Z7" s="7"/>
      <c r="AA7" s="7"/>
      <c r="AB7" s="7"/>
      <c r="AC7" s="8" t="s">
        <v>1034</v>
      </c>
      <c r="AD7" s="7"/>
      <c r="AE7" s="7"/>
      <c r="AF7" s="7"/>
      <c r="AG7" s="7" t="s">
        <v>1036</v>
      </c>
    </row>
    <row r="8" customFormat="false" ht="113.4" hidden="false" customHeight="false" outlineLevel="0" collapsed="false">
      <c r="A8" s="7" t="s">
        <v>486</v>
      </c>
      <c r="B8" s="7" t="s">
        <v>76</v>
      </c>
      <c r="C8" s="7" t="s">
        <v>141</v>
      </c>
      <c r="D8" s="7" t="s">
        <v>98</v>
      </c>
      <c r="E8" s="7" t="s">
        <v>487</v>
      </c>
      <c r="F8" s="7" t="s">
        <v>80</v>
      </c>
      <c r="G8" s="7" t="s">
        <v>81</v>
      </c>
      <c r="H8" s="7" t="s">
        <v>82</v>
      </c>
      <c r="I8" s="7" t="s">
        <v>119</v>
      </c>
      <c r="J8" s="7" t="s">
        <v>488</v>
      </c>
      <c r="K8" s="7" t="s">
        <v>85</v>
      </c>
      <c r="L8" s="7" t="s">
        <v>489</v>
      </c>
      <c r="M8" s="7" t="s">
        <v>87</v>
      </c>
      <c r="N8" s="7" t="s">
        <v>490</v>
      </c>
      <c r="O8" s="7"/>
      <c r="P8" s="7" t="s">
        <v>491</v>
      </c>
      <c r="Q8" s="7" t="s">
        <v>492</v>
      </c>
      <c r="R8" s="7" t="s">
        <v>493</v>
      </c>
      <c r="S8" s="7"/>
      <c r="T8" s="7" t="s">
        <v>92</v>
      </c>
      <c r="U8" s="7"/>
      <c r="V8" s="7"/>
      <c r="W8" s="7"/>
      <c r="X8" s="7"/>
      <c r="Y8" s="7"/>
      <c r="Z8" s="7"/>
      <c r="AA8" s="7"/>
      <c r="AB8" s="7" t="s">
        <v>494</v>
      </c>
      <c r="AC8" s="8" t="s">
        <v>495</v>
      </c>
      <c r="AD8" s="7"/>
      <c r="AE8" s="7" t="s">
        <v>496</v>
      </c>
      <c r="AF8" s="7"/>
      <c r="AG8" s="7" t="s">
        <v>497</v>
      </c>
    </row>
    <row r="9" customFormat="false" ht="79.85" hidden="false" customHeight="false" outlineLevel="0" collapsed="false">
      <c r="A9" s="7" t="s">
        <v>498</v>
      </c>
      <c r="B9" s="7" t="s">
        <v>76</v>
      </c>
      <c r="C9" s="7" t="s">
        <v>141</v>
      </c>
      <c r="D9" s="7" t="s">
        <v>98</v>
      </c>
      <c r="E9" s="7" t="s">
        <v>499</v>
      </c>
      <c r="F9" s="7" t="s">
        <v>379</v>
      </c>
      <c r="G9" s="7" t="s">
        <v>81</v>
      </c>
      <c r="H9" s="7" t="s">
        <v>82</v>
      </c>
      <c r="I9" s="7" t="s">
        <v>119</v>
      </c>
      <c r="J9" s="7" t="s">
        <v>500</v>
      </c>
      <c r="K9" s="7" t="s">
        <v>85</v>
      </c>
      <c r="L9" s="7" t="s">
        <v>501</v>
      </c>
      <c r="M9" s="7" t="s">
        <v>87</v>
      </c>
      <c r="N9" s="7"/>
      <c r="O9" s="7"/>
      <c r="P9" s="7" t="s">
        <v>106</v>
      </c>
      <c r="Q9" s="7" t="s">
        <v>144</v>
      </c>
      <c r="R9" s="7" t="s">
        <v>502</v>
      </c>
      <c r="S9" s="7" t="s">
        <v>503</v>
      </c>
      <c r="T9" s="7" t="s">
        <v>109</v>
      </c>
      <c r="U9" s="7" t="s">
        <v>504</v>
      </c>
      <c r="V9" s="8" t="s">
        <v>505</v>
      </c>
      <c r="W9" s="7"/>
      <c r="X9" s="7"/>
      <c r="Y9" s="7"/>
      <c r="Z9" s="7"/>
      <c r="AA9" s="7"/>
      <c r="AB9" s="7" t="s">
        <v>506</v>
      </c>
      <c r="AC9" s="8" t="s">
        <v>507</v>
      </c>
      <c r="AD9" s="7" t="s">
        <v>245</v>
      </c>
      <c r="AE9" s="7" t="s">
        <v>508</v>
      </c>
      <c r="AF9" s="7"/>
      <c r="AG9" s="7" t="s">
        <v>509</v>
      </c>
    </row>
    <row r="10" customFormat="false" ht="91" hidden="false" customHeight="false" outlineLevel="0" collapsed="false">
      <c r="A10" s="7" t="s">
        <v>510</v>
      </c>
      <c r="B10" s="7" t="s">
        <v>76</v>
      </c>
      <c r="C10" s="7" t="s">
        <v>141</v>
      </c>
      <c r="D10" s="7" t="s">
        <v>98</v>
      </c>
      <c r="E10" s="7" t="s">
        <v>511</v>
      </c>
      <c r="F10" s="7" t="s">
        <v>100</v>
      </c>
      <c r="G10" s="7" t="s">
        <v>81</v>
      </c>
      <c r="H10" s="7" t="s">
        <v>82</v>
      </c>
      <c r="I10" s="7" t="s">
        <v>119</v>
      </c>
      <c r="J10" s="7" t="s">
        <v>512</v>
      </c>
      <c r="K10" s="7" t="s">
        <v>85</v>
      </c>
      <c r="L10" s="7" t="s">
        <v>513</v>
      </c>
      <c r="M10" s="7" t="s">
        <v>87</v>
      </c>
      <c r="N10" s="7"/>
      <c r="O10" s="7" t="s">
        <v>514</v>
      </c>
      <c r="P10" s="7" t="s">
        <v>106</v>
      </c>
      <c r="Q10" s="7" t="s">
        <v>515</v>
      </c>
      <c r="R10" s="7" t="s">
        <v>516</v>
      </c>
      <c r="S10" s="7"/>
      <c r="T10" s="7" t="s">
        <v>92</v>
      </c>
      <c r="U10" s="7"/>
      <c r="V10" s="7"/>
      <c r="W10" s="7"/>
      <c r="X10" s="7"/>
      <c r="Y10" s="7"/>
      <c r="Z10" s="7"/>
      <c r="AA10" s="7"/>
      <c r="AB10" s="7"/>
      <c r="AC10" s="8" t="s">
        <v>517</v>
      </c>
      <c r="AD10" s="7"/>
      <c r="AE10" s="7"/>
      <c r="AF10" s="7"/>
      <c r="AG10" s="7" t="s">
        <v>518</v>
      </c>
    </row>
    <row r="11" customFormat="false" ht="35.05" hidden="false" customHeight="false" outlineLevel="0" collapsed="false">
      <c r="A11" s="7" t="s">
        <v>519</v>
      </c>
      <c r="B11" s="7" t="s">
        <v>76</v>
      </c>
      <c r="C11" s="7" t="s">
        <v>141</v>
      </c>
      <c r="D11" s="7" t="s">
        <v>98</v>
      </c>
      <c r="E11" s="7" t="s">
        <v>520</v>
      </c>
      <c r="F11" s="7" t="s">
        <v>80</v>
      </c>
      <c r="G11" s="7" t="s">
        <v>81</v>
      </c>
      <c r="H11" s="7" t="s">
        <v>82</v>
      </c>
      <c r="I11" s="7" t="s">
        <v>119</v>
      </c>
      <c r="J11" s="7" t="s">
        <v>211</v>
      </c>
      <c r="K11" s="7" t="s">
        <v>85</v>
      </c>
      <c r="L11" s="7" t="s">
        <v>105</v>
      </c>
      <c r="M11" s="7" t="s">
        <v>87</v>
      </c>
      <c r="N11" s="7"/>
      <c r="O11" s="7"/>
      <c r="P11" s="7" t="s">
        <v>106</v>
      </c>
      <c r="Q11" s="7" t="s">
        <v>144</v>
      </c>
      <c r="R11" s="7" t="s">
        <v>212</v>
      </c>
      <c r="S11" s="7"/>
      <c r="T11" s="7" t="s">
        <v>92</v>
      </c>
      <c r="U11" s="7"/>
      <c r="V11" s="7"/>
      <c r="W11" s="7"/>
      <c r="X11" s="7"/>
      <c r="Y11" s="7"/>
      <c r="Z11" s="7"/>
      <c r="AA11" s="7"/>
      <c r="AB11" s="7"/>
      <c r="AC11" s="8" t="s">
        <v>213</v>
      </c>
      <c r="AD11" s="7" t="s">
        <v>177</v>
      </c>
      <c r="AE11" s="7"/>
      <c r="AF11" s="7"/>
      <c r="AG11" s="7" t="s">
        <v>521</v>
      </c>
    </row>
    <row r="12" customFormat="false" ht="57.45" hidden="false" customHeight="false" outlineLevel="0" collapsed="false">
      <c r="A12" s="7" t="s">
        <v>522</v>
      </c>
      <c r="B12" s="7" t="s">
        <v>76</v>
      </c>
      <c r="C12" s="7" t="s">
        <v>141</v>
      </c>
      <c r="D12" s="7" t="s">
        <v>98</v>
      </c>
      <c r="E12" s="7" t="s">
        <v>523</v>
      </c>
      <c r="F12" s="7" t="s">
        <v>257</v>
      </c>
      <c r="G12" s="7" t="s">
        <v>81</v>
      </c>
      <c r="H12" s="7" t="s">
        <v>82</v>
      </c>
      <c r="I12" s="7" t="s">
        <v>119</v>
      </c>
      <c r="J12" s="7" t="s">
        <v>524</v>
      </c>
      <c r="K12" s="7" t="s">
        <v>85</v>
      </c>
      <c r="L12" s="7" t="s">
        <v>525</v>
      </c>
      <c r="M12" s="7" t="s">
        <v>87</v>
      </c>
      <c r="N12" s="7" t="s">
        <v>526</v>
      </c>
      <c r="O12" s="7" t="s">
        <v>527</v>
      </c>
      <c r="P12" s="7" t="s">
        <v>528</v>
      </c>
      <c r="Q12" s="7" t="s">
        <v>529</v>
      </c>
      <c r="R12" s="7" t="s">
        <v>530</v>
      </c>
      <c r="S12" s="7"/>
      <c r="T12" s="7" t="s">
        <v>92</v>
      </c>
      <c r="U12" s="7"/>
      <c r="V12" s="7"/>
      <c r="W12" s="7"/>
      <c r="X12" s="7"/>
      <c r="Y12" s="7"/>
      <c r="Z12" s="7"/>
      <c r="AA12" s="7"/>
      <c r="AB12" s="7" t="s">
        <v>531</v>
      </c>
      <c r="AC12" s="8" t="s">
        <v>532</v>
      </c>
      <c r="AD12" s="7"/>
      <c r="AE12" s="7" t="s">
        <v>533</v>
      </c>
      <c r="AF12" s="7"/>
      <c r="AG12" s="7" t="s">
        <v>534</v>
      </c>
    </row>
    <row r="13" customFormat="false" ht="68.65" hidden="false" customHeight="false" outlineLevel="0" collapsed="false">
      <c r="A13" s="7" t="s">
        <v>140</v>
      </c>
      <c r="B13" s="7" t="s">
        <v>76</v>
      </c>
      <c r="C13" s="7" t="s">
        <v>141</v>
      </c>
      <c r="D13" s="7" t="s">
        <v>78</v>
      </c>
      <c r="E13" s="7" t="s">
        <v>142</v>
      </c>
      <c r="F13" s="7" t="s">
        <v>80</v>
      </c>
      <c r="G13" s="7" t="s">
        <v>81</v>
      </c>
      <c r="H13" s="7" t="s">
        <v>82</v>
      </c>
      <c r="I13" s="7" t="s">
        <v>119</v>
      </c>
      <c r="J13" s="7" t="s">
        <v>143</v>
      </c>
      <c r="K13" s="7" t="s">
        <v>85</v>
      </c>
      <c r="L13" s="7" t="s">
        <v>105</v>
      </c>
      <c r="M13" s="7" t="s">
        <v>87</v>
      </c>
      <c r="N13" s="7"/>
      <c r="O13" s="7"/>
      <c r="P13" s="7" t="s">
        <v>88</v>
      </c>
      <c r="Q13" s="7" t="s">
        <v>144</v>
      </c>
      <c r="R13" s="7" t="s">
        <v>145</v>
      </c>
      <c r="S13" s="7" t="s">
        <v>146</v>
      </c>
      <c r="T13" s="7" t="s">
        <v>92</v>
      </c>
      <c r="U13" s="7"/>
      <c r="V13" s="7"/>
      <c r="W13" s="7"/>
      <c r="X13" s="7"/>
      <c r="Y13" s="7"/>
      <c r="Z13" s="7"/>
      <c r="AA13" s="7"/>
      <c r="AB13" s="7" t="s">
        <v>147</v>
      </c>
      <c r="AC13" s="7" t="s">
        <v>148</v>
      </c>
      <c r="AD13" s="7" t="s">
        <v>149</v>
      </c>
      <c r="AE13" s="7"/>
      <c r="AF13" s="7"/>
      <c r="AG13" s="7"/>
    </row>
    <row r="14" customFormat="false" ht="57.45" hidden="false" customHeight="false" outlineLevel="0" collapsed="false">
      <c r="A14" s="7" t="s">
        <v>150</v>
      </c>
      <c r="B14" s="7" t="s">
        <v>76</v>
      </c>
      <c r="C14" s="7" t="s">
        <v>141</v>
      </c>
      <c r="D14" s="7" t="s">
        <v>78</v>
      </c>
      <c r="E14" s="7" t="s">
        <v>151</v>
      </c>
      <c r="F14" s="7" t="s">
        <v>100</v>
      </c>
      <c r="G14" s="7" t="s">
        <v>81</v>
      </c>
      <c r="H14" s="7" t="s">
        <v>82</v>
      </c>
      <c r="I14" s="7" t="s">
        <v>119</v>
      </c>
      <c r="J14" s="7" t="s">
        <v>152</v>
      </c>
      <c r="K14" s="7" t="s">
        <v>85</v>
      </c>
      <c r="L14" s="7" t="s">
        <v>153</v>
      </c>
      <c r="M14" s="7" t="s">
        <v>87</v>
      </c>
      <c r="N14" s="7" t="s">
        <v>154</v>
      </c>
      <c r="O14" s="7" t="s">
        <v>155</v>
      </c>
      <c r="P14" s="7" t="s">
        <v>156</v>
      </c>
      <c r="Q14" s="7" t="s">
        <v>157</v>
      </c>
      <c r="R14" s="7" t="s">
        <v>158</v>
      </c>
      <c r="S14" s="7" t="s">
        <v>159</v>
      </c>
      <c r="T14" s="7" t="s">
        <v>109</v>
      </c>
      <c r="U14" s="7" t="s">
        <v>160</v>
      </c>
      <c r="V14" s="8" t="s">
        <v>161</v>
      </c>
      <c r="W14" s="7"/>
      <c r="X14" s="7"/>
      <c r="Y14" s="7"/>
      <c r="Z14" s="7"/>
      <c r="AA14" s="7"/>
      <c r="AB14" s="7" t="s">
        <v>162</v>
      </c>
      <c r="AC14" s="8" t="s">
        <v>163</v>
      </c>
      <c r="AD14" s="7"/>
      <c r="AE14" s="7" t="s">
        <v>164</v>
      </c>
      <c r="AF14" s="7"/>
      <c r="AG14" s="7" t="s">
        <v>165</v>
      </c>
    </row>
    <row r="15" customFormat="false" ht="68.65" hidden="false" customHeight="false" outlineLevel="0" collapsed="false">
      <c r="A15" s="7" t="s">
        <v>954</v>
      </c>
      <c r="B15" s="7" t="s">
        <v>76</v>
      </c>
      <c r="C15" s="7" t="s">
        <v>955</v>
      </c>
      <c r="D15" s="7" t="s">
        <v>78</v>
      </c>
      <c r="E15" s="7" t="s">
        <v>956</v>
      </c>
      <c r="F15" s="7" t="s">
        <v>80</v>
      </c>
      <c r="G15" s="7" t="s">
        <v>81</v>
      </c>
      <c r="H15" s="7" t="s">
        <v>82</v>
      </c>
      <c r="I15" s="7" t="s">
        <v>119</v>
      </c>
      <c r="J15" s="7" t="s">
        <v>957</v>
      </c>
      <c r="K15" s="7" t="s">
        <v>85</v>
      </c>
      <c r="L15" s="7" t="s">
        <v>105</v>
      </c>
      <c r="M15" s="7" t="s">
        <v>87</v>
      </c>
      <c r="N15" s="7"/>
      <c r="O15" s="7"/>
      <c r="P15" s="7" t="s">
        <v>88</v>
      </c>
      <c r="Q15" s="7" t="s">
        <v>144</v>
      </c>
      <c r="R15" s="7" t="s">
        <v>958</v>
      </c>
      <c r="S15" s="7"/>
      <c r="T15" s="7" t="s">
        <v>92</v>
      </c>
      <c r="U15" s="7"/>
      <c r="V15" s="7"/>
      <c r="W15" s="7"/>
      <c r="X15" s="7"/>
      <c r="Y15" s="7"/>
      <c r="Z15" s="7"/>
      <c r="AA15" s="7"/>
      <c r="AB15" s="7"/>
      <c r="AC15" s="8" t="s">
        <v>959</v>
      </c>
      <c r="AD15" s="7"/>
      <c r="AE15" s="7" t="s">
        <v>960</v>
      </c>
      <c r="AF15" s="7"/>
      <c r="AG15" s="7" t="s">
        <v>961</v>
      </c>
    </row>
    <row r="16" customFormat="false" ht="57.45" hidden="false" customHeight="false" outlineLevel="0" collapsed="false">
      <c r="A16" s="7" t="s">
        <v>166</v>
      </c>
      <c r="B16" s="7" t="s">
        <v>76</v>
      </c>
      <c r="C16" s="7" t="s">
        <v>141</v>
      </c>
      <c r="D16" s="7" t="s">
        <v>78</v>
      </c>
      <c r="E16" s="7" t="s">
        <v>167</v>
      </c>
      <c r="F16" s="7" t="s">
        <v>80</v>
      </c>
      <c r="G16" s="7" t="s">
        <v>81</v>
      </c>
      <c r="H16" s="7" t="s">
        <v>82</v>
      </c>
      <c r="I16" s="7" t="s">
        <v>119</v>
      </c>
      <c r="J16" s="7" t="s">
        <v>168</v>
      </c>
      <c r="K16" s="7" t="s">
        <v>85</v>
      </c>
      <c r="L16" s="7" t="s">
        <v>105</v>
      </c>
      <c r="M16" s="7" t="s">
        <v>87</v>
      </c>
      <c r="N16" s="7"/>
      <c r="O16" s="7"/>
      <c r="P16" s="7" t="s">
        <v>88</v>
      </c>
      <c r="Q16" s="7" t="s">
        <v>144</v>
      </c>
      <c r="R16" s="7" t="s">
        <v>169</v>
      </c>
      <c r="S16" s="7"/>
      <c r="T16" s="7" t="s">
        <v>92</v>
      </c>
      <c r="U16" s="7"/>
      <c r="V16" s="7"/>
      <c r="W16" s="7"/>
      <c r="X16" s="7"/>
      <c r="Y16" s="7"/>
      <c r="Z16" s="7"/>
      <c r="AA16" s="7"/>
      <c r="AB16" s="7"/>
      <c r="AC16" s="8" t="s">
        <v>170</v>
      </c>
      <c r="AD16" s="7"/>
      <c r="AE16" s="7" t="s">
        <v>171</v>
      </c>
      <c r="AF16" s="7"/>
      <c r="AG16" s="7" t="s">
        <v>172</v>
      </c>
    </row>
    <row r="17" customFormat="false" ht="35.05" hidden="false" customHeight="false" outlineLevel="0" collapsed="false">
      <c r="A17" s="7" t="s">
        <v>173</v>
      </c>
      <c r="B17" s="7" t="s">
        <v>76</v>
      </c>
      <c r="C17" s="7" t="s">
        <v>141</v>
      </c>
      <c r="D17" s="7" t="s">
        <v>78</v>
      </c>
      <c r="E17" s="7" t="s">
        <v>174</v>
      </c>
      <c r="F17" s="7" t="s">
        <v>80</v>
      </c>
      <c r="G17" s="7" t="s">
        <v>81</v>
      </c>
      <c r="H17" s="7" t="s">
        <v>82</v>
      </c>
      <c r="I17" s="7" t="s">
        <v>119</v>
      </c>
      <c r="J17" s="7" t="s">
        <v>168</v>
      </c>
      <c r="K17" s="7" t="s">
        <v>85</v>
      </c>
      <c r="L17" s="7" t="s">
        <v>105</v>
      </c>
      <c r="M17" s="7" t="s">
        <v>87</v>
      </c>
      <c r="N17" s="7"/>
      <c r="O17" s="7"/>
      <c r="P17" s="7" t="s">
        <v>88</v>
      </c>
      <c r="Q17" s="7" t="s">
        <v>144</v>
      </c>
      <c r="R17" s="7" t="s">
        <v>175</v>
      </c>
      <c r="S17" s="7"/>
      <c r="T17" s="7" t="s">
        <v>92</v>
      </c>
      <c r="U17" s="7"/>
      <c r="V17" s="7"/>
      <c r="W17" s="7"/>
      <c r="X17" s="7"/>
      <c r="Y17" s="7"/>
      <c r="Z17" s="7"/>
      <c r="AA17" s="7"/>
      <c r="AB17" s="7"/>
      <c r="AC17" s="8" t="s">
        <v>176</v>
      </c>
      <c r="AD17" s="7" t="s">
        <v>177</v>
      </c>
      <c r="AE17" s="7" t="s">
        <v>178</v>
      </c>
      <c r="AF17" s="7"/>
      <c r="AG17" s="7" t="s">
        <v>179</v>
      </c>
    </row>
    <row r="18" customFormat="false" ht="46.25" hidden="false" customHeight="false" outlineLevel="0" collapsed="false">
      <c r="A18" s="7" t="s">
        <v>180</v>
      </c>
      <c r="B18" s="7" t="s">
        <v>76</v>
      </c>
      <c r="C18" s="7" t="s">
        <v>141</v>
      </c>
      <c r="D18" s="7" t="s">
        <v>78</v>
      </c>
      <c r="E18" s="7" t="s">
        <v>181</v>
      </c>
      <c r="F18" s="7" t="s">
        <v>182</v>
      </c>
      <c r="G18" s="7" t="s">
        <v>81</v>
      </c>
      <c r="H18" s="7" t="s">
        <v>82</v>
      </c>
      <c r="I18" s="7" t="s">
        <v>119</v>
      </c>
      <c r="J18" s="7" t="s">
        <v>183</v>
      </c>
      <c r="K18" s="7" t="s">
        <v>85</v>
      </c>
      <c r="L18" s="7" t="s">
        <v>184</v>
      </c>
      <c r="M18" s="7" t="s">
        <v>87</v>
      </c>
      <c r="N18" s="7"/>
      <c r="O18" s="7" t="s">
        <v>185</v>
      </c>
      <c r="P18" s="7" t="s">
        <v>186</v>
      </c>
      <c r="Q18" s="7" t="s">
        <v>187</v>
      </c>
      <c r="R18" s="7" t="s">
        <v>188</v>
      </c>
      <c r="S18" s="7"/>
      <c r="T18" s="7" t="s">
        <v>189</v>
      </c>
      <c r="U18" s="7"/>
      <c r="V18" s="7"/>
      <c r="W18" s="8" t="s">
        <v>190</v>
      </c>
      <c r="X18" s="7"/>
      <c r="Y18" s="7"/>
      <c r="Z18" s="7"/>
      <c r="AA18" s="7"/>
      <c r="AB18" s="7" t="s">
        <v>191</v>
      </c>
      <c r="AC18" s="8" t="s">
        <v>192</v>
      </c>
      <c r="AD18" s="7"/>
      <c r="AE18" s="7" t="s">
        <v>193</v>
      </c>
      <c r="AF18" s="7"/>
      <c r="AG18" s="7" t="s">
        <v>194</v>
      </c>
    </row>
    <row r="19" customFormat="false" ht="46.25" hidden="false" customHeight="false" outlineLevel="0" collapsed="false">
      <c r="A19" s="7" t="s">
        <v>1037</v>
      </c>
      <c r="B19" s="7" t="s">
        <v>76</v>
      </c>
      <c r="C19" s="7" t="s">
        <v>985</v>
      </c>
      <c r="D19" s="7" t="s">
        <v>78</v>
      </c>
      <c r="E19" s="7" t="s">
        <v>1038</v>
      </c>
      <c r="F19" s="7" t="s">
        <v>80</v>
      </c>
      <c r="G19" s="7" t="s">
        <v>81</v>
      </c>
      <c r="H19" s="7" t="s">
        <v>82</v>
      </c>
      <c r="I19" s="7" t="s">
        <v>119</v>
      </c>
      <c r="J19" s="7" t="s">
        <v>168</v>
      </c>
      <c r="K19" s="7" t="s">
        <v>85</v>
      </c>
      <c r="L19" s="7" t="s">
        <v>1039</v>
      </c>
      <c r="M19" s="7" t="s">
        <v>87</v>
      </c>
      <c r="N19" s="7"/>
      <c r="O19" s="7"/>
      <c r="P19" s="7" t="s">
        <v>88</v>
      </c>
      <c r="Q19" s="7" t="s">
        <v>988</v>
      </c>
      <c r="R19" s="7" t="s">
        <v>1040</v>
      </c>
      <c r="S19" s="7" t="s">
        <v>1041</v>
      </c>
      <c r="T19" s="7" t="s">
        <v>92</v>
      </c>
      <c r="U19" s="7"/>
      <c r="V19" s="7"/>
      <c r="W19" s="7"/>
      <c r="X19" s="7"/>
      <c r="Y19" s="7"/>
      <c r="Z19" s="7"/>
      <c r="AA19" s="7"/>
      <c r="AB19" s="7"/>
      <c r="AC19" s="8" t="s">
        <v>1042</v>
      </c>
      <c r="AD19" s="7" t="s">
        <v>245</v>
      </c>
      <c r="AE19" s="7" t="s">
        <v>1043</v>
      </c>
      <c r="AF19" s="7"/>
      <c r="AG19" s="7" t="s">
        <v>1044</v>
      </c>
    </row>
    <row r="20" customFormat="false" ht="35.05" hidden="false" customHeight="false" outlineLevel="0" collapsed="false">
      <c r="A20" s="7" t="s">
        <v>195</v>
      </c>
      <c r="B20" s="7" t="s">
        <v>76</v>
      </c>
      <c r="C20" s="7" t="s">
        <v>141</v>
      </c>
      <c r="D20" s="7" t="s">
        <v>78</v>
      </c>
      <c r="E20" s="7" t="s">
        <v>196</v>
      </c>
      <c r="F20" s="7" t="s">
        <v>100</v>
      </c>
      <c r="G20" s="7" t="s">
        <v>81</v>
      </c>
      <c r="H20" s="7" t="s">
        <v>82</v>
      </c>
      <c r="I20" s="7" t="s">
        <v>119</v>
      </c>
      <c r="J20" s="7" t="s">
        <v>197</v>
      </c>
      <c r="K20" s="7" t="s">
        <v>85</v>
      </c>
      <c r="L20" s="7" t="s">
        <v>105</v>
      </c>
      <c r="M20" s="7" t="s">
        <v>87</v>
      </c>
      <c r="N20" s="7"/>
      <c r="O20" s="7"/>
      <c r="P20" s="7" t="s">
        <v>88</v>
      </c>
      <c r="Q20" s="7" t="s">
        <v>144</v>
      </c>
      <c r="R20" s="7" t="s">
        <v>198</v>
      </c>
      <c r="S20" s="7" t="s">
        <v>199</v>
      </c>
      <c r="T20" s="7" t="s">
        <v>109</v>
      </c>
      <c r="U20" s="7" t="s">
        <v>200</v>
      </c>
      <c r="V20" s="8" t="s">
        <v>201</v>
      </c>
      <c r="W20" s="7"/>
      <c r="X20" s="7"/>
      <c r="Y20" s="7"/>
      <c r="Z20" s="7"/>
      <c r="AA20" s="7"/>
      <c r="AB20" s="7"/>
      <c r="AC20" s="8" t="s">
        <v>202</v>
      </c>
      <c r="AD20" s="7" t="s">
        <v>177</v>
      </c>
      <c r="AE20" s="7"/>
      <c r="AF20" s="7"/>
      <c r="AG20" s="7" t="s">
        <v>96</v>
      </c>
    </row>
    <row r="21" customFormat="false" ht="35.05" hidden="false" customHeight="false" outlineLevel="0" collapsed="false">
      <c r="A21" s="7" t="s">
        <v>203</v>
      </c>
      <c r="B21" s="7" t="s">
        <v>76</v>
      </c>
      <c r="C21" s="7" t="s">
        <v>141</v>
      </c>
      <c r="D21" s="7" t="s">
        <v>78</v>
      </c>
      <c r="E21" s="7" t="s">
        <v>204</v>
      </c>
      <c r="F21" s="7" t="s">
        <v>80</v>
      </c>
      <c r="G21" s="7" t="s">
        <v>81</v>
      </c>
      <c r="H21" s="7" t="s">
        <v>82</v>
      </c>
      <c r="I21" s="7" t="s">
        <v>119</v>
      </c>
      <c r="J21" s="7" t="s">
        <v>168</v>
      </c>
      <c r="K21" s="7" t="s">
        <v>85</v>
      </c>
      <c r="L21" s="7" t="s">
        <v>205</v>
      </c>
      <c r="M21" s="7" t="s">
        <v>87</v>
      </c>
      <c r="N21" s="7"/>
      <c r="O21" s="7"/>
      <c r="P21" s="7" t="s">
        <v>206</v>
      </c>
      <c r="Q21" s="7" t="s">
        <v>207</v>
      </c>
      <c r="R21" s="7" t="s">
        <v>208</v>
      </c>
      <c r="S21" s="7"/>
      <c r="T21" s="7" t="s">
        <v>92</v>
      </c>
      <c r="U21" s="7"/>
      <c r="V21" s="7"/>
      <c r="W21" s="7"/>
      <c r="X21" s="7"/>
      <c r="Y21" s="7"/>
      <c r="Z21" s="7"/>
      <c r="AA21" s="7"/>
      <c r="AB21" s="7"/>
      <c r="AC21" s="8" t="s">
        <v>176</v>
      </c>
      <c r="AD21" s="7" t="s">
        <v>177</v>
      </c>
      <c r="AE21" s="7" t="s">
        <v>178</v>
      </c>
      <c r="AF21" s="7"/>
      <c r="AG21" s="7" t="s">
        <v>179</v>
      </c>
    </row>
    <row r="22" customFormat="false" ht="35.05" hidden="false" customHeight="false" outlineLevel="0" collapsed="false">
      <c r="A22" s="7" t="s">
        <v>209</v>
      </c>
      <c r="B22" s="7" t="s">
        <v>76</v>
      </c>
      <c r="C22" s="7" t="s">
        <v>141</v>
      </c>
      <c r="D22" s="7" t="s">
        <v>78</v>
      </c>
      <c r="E22" s="7" t="s">
        <v>210</v>
      </c>
      <c r="F22" s="7" t="s">
        <v>80</v>
      </c>
      <c r="G22" s="7" t="s">
        <v>81</v>
      </c>
      <c r="H22" s="7" t="s">
        <v>82</v>
      </c>
      <c r="I22" s="7" t="s">
        <v>119</v>
      </c>
      <c r="J22" s="7" t="s">
        <v>211</v>
      </c>
      <c r="K22" s="7" t="s">
        <v>85</v>
      </c>
      <c r="L22" s="7" t="s">
        <v>105</v>
      </c>
      <c r="M22" s="7" t="s">
        <v>87</v>
      </c>
      <c r="N22" s="7"/>
      <c r="O22" s="7"/>
      <c r="P22" s="7" t="s">
        <v>88</v>
      </c>
      <c r="Q22" s="7" t="s">
        <v>144</v>
      </c>
      <c r="R22" s="7" t="s">
        <v>212</v>
      </c>
      <c r="S22" s="7"/>
      <c r="T22" s="7" t="s">
        <v>92</v>
      </c>
      <c r="U22" s="7"/>
      <c r="V22" s="7"/>
      <c r="W22" s="7"/>
      <c r="X22" s="7"/>
      <c r="Y22" s="7"/>
      <c r="Z22" s="7"/>
      <c r="AA22" s="7"/>
      <c r="AB22" s="7"/>
      <c r="AC22" s="8" t="s">
        <v>213</v>
      </c>
      <c r="AD22" s="7" t="s">
        <v>177</v>
      </c>
      <c r="AE22" s="7"/>
      <c r="AF22" s="7"/>
      <c r="AG22" s="7" t="s">
        <v>214</v>
      </c>
    </row>
    <row r="23" customFormat="false" ht="46.25" hidden="false" customHeight="false" outlineLevel="0" collapsed="false">
      <c r="A23" s="7" t="s">
        <v>215</v>
      </c>
      <c r="B23" s="7" t="s">
        <v>76</v>
      </c>
      <c r="C23" s="7" t="s">
        <v>141</v>
      </c>
      <c r="D23" s="7" t="s">
        <v>78</v>
      </c>
      <c r="E23" s="7" t="s">
        <v>216</v>
      </c>
      <c r="F23" s="7" t="s">
        <v>100</v>
      </c>
      <c r="G23" s="7" t="s">
        <v>81</v>
      </c>
      <c r="H23" s="7" t="s">
        <v>82</v>
      </c>
      <c r="I23" s="7" t="s">
        <v>119</v>
      </c>
      <c r="J23" s="7" t="s">
        <v>217</v>
      </c>
      <c r="K23" s="7" t="s">
        <v>218</v>
      </c>
      <c r="L23" s="7" t="s">
        <v>219</v>
      </c>
      <c r="M23" s="7" t="s">
        <v>220</v>
      </c>
      <c r="N23" s="7" t="s">
        <v>221</v>
      </c>
      <c r="O23" s="7" t="s">
        <v>222</v>
      </c>
      <c r="P23" s="7" t="s">
        <v>223</v>
      </c>
      <c r="Q23" s="7" t="s">
        <v>224</v>
      </c>
      <c r="R23" s="7" t="s">
        <v>225</v>
      </c>
      <c r="S23" s="7" t="s">
        <v>226</v>
      </c>
      <c r="T23" s="7" t="s">
        <v>109</v>
      </c>
      <c r="U23" s="7" t="s">
        <v>227</v>
      </c>
      <c r="V23" s="8" t="s">
        <v>228</v>
      </c>
      <c r="W23" s="7"/>
      <c r="X23" s="7"/>
      <c r="Y23" s="7"/>
      <c r="Z23" s="7"/>
      <c r="AA23" s="7"/>
      <c r="AB23" s="7" t="s">
        <v>229</v>
      </c>
      <c r="AC23" s="8" t="s">
        <v>230</v>
      </c>
      <c r="AD23" s="7"/>
      <c r="AE23" s="7" t="s">
        <v>231</v>
      </c>
      <c r="AF23" s="7"/>
      <c r="AG23" s="7" t="s">
        <v>232</v>
      </c>
    </row>
    <row r="24" customFormat="false" ht="79.85" hidden="false" customHeight="false" outlineLevel="0" collapsed="false">
      <c r="A24" s="7" t="s">
        <v>233</v>
      </c>
      <c r="B24" s="7" t="s">
        <v>76</v>
      </c>
      <c r="C24" s="7" t="s">
        <v>141</v>
      </c>
      <c r="D24" s="7" t="s">
        <v>78</v>
      </c>
      <c r="E24" s="7" t="s">
        <v>234</v>
      </c>
      <c r="F24" s="7" t="s">
        <v>100</v>
      </c>
      <c r="G24" s="7" t="s">
        <v>81</v>
      </c>
      <c r="H24" s="7" t="s">
        <v>82</v>
      </c>
      <c r="I24" s="7" t="s">
        <v>119</v>
      </c>
      <c r="J24" s="7" t="s">
        <v>168</v>
      </c>
      <c r="K24" s="7" t="s">
        <v>235</v>
      </c>
      <c r="L24" s="7" t="s">
        <v>236</v>
      </c>
      <c r="M24" s="7" t="s">
        <v>237</v>
      </c>
      <c r="N24" s="7"/>
      <c r="O24" s="7" t="s">
        <v>238</v>
      </c>
      <c r="P24" s="7" t="s">
        <v>239</v>
      </c>
      <c r="Q24" s="7" t="s">
        <v>240</v>
      </c>
      <c r="R24" s="7" t="s">
        <v>241</v>
      </c>
      <c r="S24" s="7" t="s">
        <v>242</v>
      </c>
      <c r="T24" s="7" t="s">
        <v>92</v>
      </c>
      <c r="U24" s="7"/>
      <c r="V24" s="7"/>
      <c r="W24" s="7"/>
      <c r="X24" s="7"/>
      <c r="Y24" s="7"/>
      <c r="Z24" s="7"/>
      <c r="AA24" s="7"/>
      <c r="AB24" s="7" t="s">
        <v>243</v>
      </c>
      <c r="AC24" s="8" t="s">
        <v>244</v>
      </c>
      <c r="AD24" s="7" t="s">
        <v>245</v>
      </c>
      <c r="AE24" s="7" t="s">
        <v>246</v>
      </c>
      <c r="AF24" s="7"/>
      <c r="AG24" s="7" t="s">
        <v>247</v>
      </c>
    </row>
    <row r="25" customFormat="false" ht="35.05" hidden="false" customHeight="false" outlineLevel="0" collapsed="false">
      <c r="A25" s="7" t="s">
        <v>248</v>
      </c>
      <c r="B25" s="7" t="s">
        <v>76</v>
      </c>
      <c r="C25" s="7" t="s">
        <v>141</v>
      </c>
      <c r="D25" s="7" t="s">
        <v>78</v>
      </c>
      <c r="E25" s="7" t="s">
        <v>249</v>
      </c>
      <c r="F25" s="7" t="s">
        <v>80</v>
      </c>
      <c r="G25" s="7" t="s">
        <v>81</v>
      </c>
      <c r="H25" s="7" t="s">
        <v>82</v>
      </c>
      <c r="I25" s="7" t="s">
        <v>119</v>
      </c>
      <c r="J25" s="7" t="s">
        <v>250</v>
      </c>
      <c r="K25" s="7" t="s">
        <v>85</v>
      </c>
      <c r="L25" s="7" t="s">
        <v>105</v>
      </c>
      <c r="M25" s="7" t="s">
        <v>87</v>
      </c>
      <c r="N25" s="7"/>
      <c r="O25" s="7"/>
      <c r="P25" s="7" t="s">
        <v>251</v>
      </c>
      <c r="Q25" s="7" t="s">
        <v>144</v>
      </c>
      <c r="R25" s="7" t="s">
        <v>252</v>
      </c>
      <c r="S25" s="7"/>
      <c r="T25" s="7" t="s">
        <v>92</v>
      </c>
      <c r="U25" s="7"/>
      <c r="V25" s="7"/>
      <c r="W25" s="7"/>
      <c r="X25" s="7"/>
      <c r="Y25" s="7"/>
      <c r="Z25" s="7"/>
      <c r="AA25" s="7"/>
      <c r="AB25" s="7"/>
      <c r="AC25" s="8" t="s">
        <v>253</v>
      </c>
      <c r="AD25" s="7" t="s">
        <v>177</v>
      </c>
      <c r="AE25" s="7"/>
      <c r="AF25" s="7"/>
      <c r="AG25" s="7" t="s">
        <v>254</v>
      </c>
    </row>
    <row r="26" customFormat="false" ht="46.25" hidden="false" customHeight="false" outlineLevel="0" collapsed="false">
      <c r="A26" s="7" t="s">
        <v>962</v>
      </c>
      <c r="B26" s="7" t="s">
        <v>76</v>
      </c>
      <c r="C26" s="7" t="s">
        <v>955</v>
      </c>
      <c r="D26" s="7" t="s">
        <v>78</v>
      </c>
      <c r="E26" s="7" t="s">
        <v>963</v>
      </c>
      <c r="F26" s="7" t="s">
        <v>80</v>
      </c>
      <c r="G26" s="7" t="s">
        <v>81</v>
      </c>
      <c r="H26" s="7" t="s">
        <v>82</v>
      </c>
      <c r="I26" s="7" t="s">
        <v>119</v>
      </c>
      <c r="J26" s="7" t="s">
        <v>168</v>
      </c>
      <c r="K26" s="7" t="s">
        <v>85</v>
      </c>
      <c r="L26" s="7" t="s">
        <v>105</v>
      </c>
      <c r="M26" s="7" t="s">
        <v>87</v>
      </c>
      <c r="N26" s="7"/>
      <c r="O26" s="7"/>
      <c r="P26" s="7" t="s">
        <v>88</v>
      </c>
      <c r="Q26" s="7" t="s">
        <v>144</v>
      </c>
      <c r="R26" s="7" t="s">
        <v>964</v>
      </c>
      <c r="S26" s="7"/>
      <c r="T26" s="7" t="s">
        <v>92</v>
      </c>
      <c r="U26" s="7"/>
      <c r="V26" s="7"/>
      <c r="W26" s="7"/>
      <c r="X26" s="7"/>
      <c r="Y26" s="7"/>
      <c r="Z26" s="7"/>
      <c r="AA26" s="7"/>
      <c r="AB26" s="7"/>
      <c r="AC26" s="8" t="s">
        <v>965</v>
      </c>
      <c r="AD26" s="7" t="s">
        <v>177</v>
      </c>
      <c r="AE26" s="7"/>
      <c r="AF26" s="7"/>
      <c r="AG26" s="7" t="s">
        <v>966</v>
      </c>
    </row>
    <row r="27" customFormat="false" ht="68.65" hidden="false" customHeight="false" outlineLevel="0" collapsed="false">
      <c r="A27" s="7" t="s">
        <v>605</v>
      </c>
      <c r="B27" s="7" t="s">
        <v>116</v>
      </c>
      <c r="C27" s="7" t="s">
        <v>141</v>
      </c>
      <c r="D27" s="7" t="s">
        <v>98</v>
      </c>
      <c r="E27" s="7" t="s">
        <v>606</v>
      </c>
      <c r="F27" s="7" t="s">
        <v>100</v>
      </c>
      <c r="G27" s="7" t="s">
        <v>81</v>
      </c>
      <c r="H27" s="7" t="s">
        <v>82</v>
      </c>
      <c r="I27" s="7" t="s">
        <v>119</v>
      </c>
      <c r="J27" s="7" t="s">
        <v>607</v>
      </c>
      <c r="K27" s="7" t="s">
        <v>85</v>
      </c>
      <c r="L27" s="7" t="s">
        <v>608</v>
      </c>
      <c r="M27" s="7" t="s">
        <v>87</v>
      </c>
      <c r="N27" s="7"/>
      <c r="O27" s="7"/>
      <c r="P27" s="7" t="s">
        <v>106</v>
      </c>
      <c r="Q27" s="7" t="s">
        <v>144</v>
      </c>
      <c r="R27" s="7" t="s">
        <v>609</v>
      </c>
      <c r="S27" s="7" t="s">
        <v>610</v>
      </c>
      <c r="T27" s="7" t="s">
        <v>92</v>
      </c>
      <c r="U27" s="7"/>
      <c r="V27" s="7"/>
      <c r="W27" s="7"/>
      <c r="X27" s="7"/>
      <c r="Y27" s="7"/>
      <c r="Z27" s="7"/>
      <c r="AA27" s="7"/>
      <c r="AB27" s="7"/>
      <c r="AC27" s="8" t="s">
        <v>611</v>
      </c>
      <c r="AD27" s="7"/>
      <c r="AE27" s="7" t="s">
        <v>612</v>
      </c>
      <c r="AF27" s="7"/>
      <c r="AG27" s="7" t="s">
        <v>613</v>
      </c>
    </row>
    <row r="28" customFormat="false" ht="46.25" hidden="false" customHeight="false" outlineLevel="0" collapsed="false">
      <c r="A28" s="7" t="s">
        <v>614</v>
      </c>
      <c r="B28" s="7" t="s">
        <v>116</v>
      </c>
      <c r="C28" s="7" t="s">
        <v>141</v>
      </c>
      <c r="D28" s="7" t="s">
        <v>98</v>
      </c>
      <c r="E28" s="7" t="s">
        <v>615</v>
      </c>
      <c r="F28" s="7" t="s">
        <v>80</v>
      </c>
      <c r="G28" s="7" t="s">
        <v>81</v>
      </c>
      <c r="H28" s="7" t="s">
        <v>82</v>
      </c>
      <c r="I28" s="7" t="s">
        <v>119</v>
      </c>
      <c r="J28" s="7" t="s">
        <v>211</v>
      </c>
      <c r="K28" s="7" t="s">
        <v>85</v>
      </c>
      <c r="L28" s="7" t="s">
        <v>616</v>
      </c>
      <c r="M28" s="7" t="s">
        <v>87</v>
      </c>
      <c r="N28" s="7"/>
      <c r="O28" s="7"/>
      <c r="P28" s="7" t="s">
        <v>106</v>
      </c>
      <c r="Q28" s="7" t="s">
        <v>144</v>
      </c>
      <c r="R28" s="7" t="s">
        <v>617</v>
      </c>
      <c r="S28" s="7" t="s">
        <v>618</v>
      </c>
      <c r="T28" s="7" t="s">
        <v>92</v>
      </c>
      <c r="U28" s="7"/>
      <c r="V28" s="7"/>
      <c r="W28" s="7"/>
      <c r="X28" s="7"/>
      <c r="Y28" s="7"/>
      <c r="Z28" s="7"/>
      <c r="AA28" s="7"/>
      <c r="AB28" s="7"/>
      <c r="AC28" s="8" t="s">
        <v>619</v>
      </c>
      <c r="AD28" s="7" t="s">
        <v>620</v>
      </c>
      <c r="AE28" s="7"/>
      <c r="AF28" s="7"/>
      <c r="AG28" s="7" t="s">
        <v>621</v>
      </c>
    </row>
    <row r="29" customFormat="false" ht="68.65" hidden="false" customHeight="false" outlineLevel="0" collapsed="false">
      <c r="A29" s="7" t="s">
        <v>622</v>
      </c>
      <c r="B29" s="7" t="s">
        <v>116</v>
      </c>
      <c r="C29" s="7" t="s">
        <v>141</v>
      </c>
      <c r="D29" s="7" t="s">
        <v>98</v>
      </c>
      <c r="E29" s="7" t="s">
        <v>623</v>
      </c>
      <c r="F29" s="7" t="s">
        <v>80</v>
      </c>
      <c r="G29" s="7" t="s">
        <v>81</v>
      </c>
      <c r="H29" s="7" t="s">
        <v>82</v>
      </c>
      <c r="I29" s="7" t="s">
        <v>119</v>
      </c>
      <c r="J29" s="7" t="s">
        <v>624</v>
      </c>
      <c r="K29" s="7" t="s">
        <v>85</v>
      </c>
      <c r="L29" s="7" t="s">
        <v>105</v>
      </c>
      <c r="M29" s="7" t="s">
        <v>87</v>
      </c>
      <c r="N29" s="7"/>
      <c r="O29" s="7"/>
      <c r="P29" s="7" t="s">
        <v>106</v>
      </c>
      <c r="Q29" s="7" t="s">
        <v>144</v>
      </c>
      <c r="R29" s="7" t="s">
        <v>625</v>
      </c>
      <c r="S29" s="7"/>
      <c r="T29" s="7" t="s">
        <v>92</v>
      </c>
      <c r="U29" s="7"/>
      <c r="V29" s="7"/>
      <c r="W29" s="7"/>
      <c r="X29" s="7"/>
      <c r="Y29" s="7"/>
      <c r="Z29" s="7"/>
      <c r="AA29" s="7"/>
      <c r="AB29" s="7"/>
      <c r="AC29" s="8" t="s">
        <v>202</v>
      </c>
      <c r="AD29" s="7"/>
      <c r="AE29" s="7" t="s">
        <v>626</v>
      </c>
      <c r="AF29" s="7"/>
      <c r="AG29" s="7" t="s">
        <v>627</v>
      </c>
    </row>
    <row r="30" customFormat="false" ht="46.25" hidden="false" customHeight="false" outlineLevel="0" collapsed="false">
      <c r="A30" s="7" t="s">
        <v>1045</v>
      </c>
      <c r="B30" s="7" t="s">
        <v>116</v>
      </c>
      <c r="C30" s="7" t="s">
        <v>985</v>
      </c>
      <c r="D30" s="7" t="s">
        <v>98</v>
      </c>
      <c r="E30" s="7" t="s">
        <v>1046</v>
      </c>
      <c r="F30" s="7" t="s">
        <v>80</v>
      </c>
      <c r="G30" s="7" t="s">
        <v>81</v>
      </c>
      <c r="H30" s="7" t="s">
        <v>82</v>
      </c>
      <c r="I30" s="7" t="s">
        <v>119</v>
      </c>
      <c r="J30" s="7" t="s">
        <v>1047</v>
      </c>
      <c r="K30" s="7" t="s">
        <v>85</v>
      </c>
      <c r="L30" s="7" t="s">
        <v>105</v>
      </c>
      <c r="M30" s="7" t="s">
        <v>87</v>
      </c>
      <c r="N30" s="7"/>
      <c r="O30" s="7"/>
      <c r="P30" s="7" t="s">
        <v>106</v>
      </c>
      <c r="Q30" s="7" t="s">
        <v>988</v>
      </c>
      <c r="R30" s="7" t="s">
        <v>1048</v>
      </c>
      <c r="S30" s="7" t="s">
        <v>1049</v>
      </c>
      <c r="T30" s="7" t="s">
        <v>92</v>
      </c>
      <c r="U30" s="7"/>
      <c r="V30" s="7"/>
      <c r="W30" s="7"/>
      <c r="X30" s="7"/>
      <c r="Y30" s="7"/>
      <c r="Z30" s="7"/>
      <c r="AA30" s="7"/>
      <c r="AB30" s="7"/>
      <c r="AC30" s="8" t="s">
        <v>1050</v>
      </c>
      <c r="AD30" s="7" t="s">
        <v>1051</v>
      </c>
      <c r="AE30" s="7"/>
      <c r="AF30" s="7"/>
      <c r="AG30" s="7" t="s">
        <v>96</v>
      </c>
    </row>
    <row r="31" customFormat="false" ht="79.85" hidden="false" customHeight="false" outlineLevel="0" collapsed="false">
      <c r="A31" s="7" t="s">
        <v>628</v>
      </c>
      <c r="B31" s="7" t="s">
        <v>116</v>
      </c>
      <c r="C31" s="7" t="s">
        <v>141</v>
      </c>
      <c r="D31" s="7" t="s">
        <v>98</v>
      </c>
      <c r="E31" s="7" t="s">
        <v>629</v>
      </c>
      <c r="F31" s="7" t="s">
        <v>257</v>
      </c>
      <c r="G31" s="7" t="s">
        <v>81</v>
      </c>
      <c r="H31" s="7" t="s">
        <v>82</v>
      </c>
      <c r="I31" s="7" t="s">
        <v>119</v>
      </c>
      <c r="J31" s="7" t="s">
        <v>630</v>
      </c>
      <c r="K31" s="7" t="s">
        <v>85</v>
      </c>
      <c r="L31" s="7" t="s">
        <v>105</v>
      </c>
      <c r="M31" s="7" t="s">
        <v>87</v>
      </c>
      <c r="N31" s="7"/>
      <c r="O31" s="7"/>
      <c r="P31" s="7" t="s">
        <v>106</v>
      </c>
      <c r="Q31" s="7" t="s">
        <v>144</v>
      </c>
      <c r="R31" s="7" t="s">
        <v>631</v>
      </c>
      <c r="S31" s="7"/>
      <c r="T31" s="7" t="s">
        <v>92</v>
      </c>
      <c r="U31" s="7"/>
      <c r="V31" s="7"/>
      <c r="W31" s="7"/>
      <c r="X31" s="7"/>
      <c r="Y31" s="7"/>
      <c r="Z31" s="7"/>
      <c r="AA31" s="7"/>
      <c r="AB31" s="7" t="s">
        <v>632</v>
      </c>
      <c r="AC31" s="8" t="s">
        <v>633</v>
      </c>
      <c r="AD31" s="7"/>
      <c r="AE31" s="7" t="s">
        <v>634</v>
      </c>
      <c r="AF31" s="7"/>
      <c r="AG31" s="7" t="s">
        <v>635</v>
      </c>
    </row>
    <row r="32" customFormat="false" ht="46.25" hidden="false" customHeight="false" outlineLevel="0" collapsed="false">
      <c r="A32" s="7" t="s">
        <v>636</v>
      </c>
      <c r="B32" s="7" t="s">
        <v>116</v>
      </c>
      <c r="C32" s="7" t="s">
        <v>141</v>
      </c>
      <c r="D32" s="7" t="s">
        <v>98</v>
      </c>
      <c r="E32" s="7" t="s">
        <v>637</v>
      </c>
      <c r="F32" s="7" t="s">
        <v>80</v>
      </c>
      <c r="G32" s="7" t="s">
        <v>81</v>
      </c>
      <c r="H32" s="7" t="s">
        <v>82</v>
      </c>
      <c r="I32" s="7" t="s">
        <v>119</v>
      </c>
      <c r="J32" s="7" t="s">
        <v>211</v>
      </c>
      <c r="K32" s="7" t="s">
        <v>85</v>
      </c>
      <c r="L32" s="7" t="s">
        <v>105</v>
      </c>
      <c r="M32" s="7" t="s">
        <v>87</v>
      </c>
      <c r="N32" s="7"/>
      <c r="O32" s="7"/>
      <c r="P32" s="7" t="s">
        <v>106</v>
      </c>
      <c r="Q32" s="7" t="s">
        <v>144</v>
      </c>
      <c r="R32" s="7" t="s">
        <v>638</v>
      </c>
      <c r="S32" s="7"/>
      <c r="T32" s="7" t="s">
        <v>92</v>
      </c>
      <c r="U32" s="7"/>
      <c r="V32" s="7"/>
      <c r="W32" s="7"/>
      <c r="X32" s="7"/>
      <c r="Y32" s="7"/>
      <c r="Z32" s="7"/>
      <c r="AA32" s="7"/>
      <c r="AB32" s="7"/>
      <c r="AC32" s="8" t="s">
        <v>639</v>
      </c>
      <c r="AD32" s="7" t="s">
        <v>640</v>
      </c>
      <c r="AE32" s="7"/>
      <c r="AF32" s="7"/>
      <c r="AG32" s="7" t="s">
        <v>641</v>
      </c>
    </row>
    <row r="33" customFormat="false" ht="35.05" hidden="false" customHeight="false" outlineLevel="0" collapsed="false">
      <c r="A33" s="7" t="s">
        <v>1052</v>
      </c>
      <c r="B33" s="7" t="s">
        <v>116</v>
      </c>
      <c r="C33" s="7" t="s">
        <v>985</v>
      </c>
      <c r="D33" s="7" t="s">
        <v>98</v>
      </c>
      <c r="E33" s="7" t="s">
        <v>1053</v>
      </c>
      <c r="F33" s="7" t="s">
        <v>80</v>
      </c>
      <c r="G33" s="7" t="s">
        <v>81</v>
      </c>
      <c r="H33" s="7" t="s">
        <v>82</v>
      </c>
      <c r="I33" s="7" t="s">
        <v>119</v>
      </c>
      <c r="J33" s="7" t="s">
        <v>1054</v>
      </c>
      <c r="K33" s="7" t="s">
        <v>85</v>
      </c>
      <c r="L33" s="7" t="s">
        <v>1055</v>
      </c>
      <c r="M33" s="7" t="s">
        <v>1056</v>
      </c>
      <c r="N33" s="7" t="s">
        <v>1057</v>
      </c>
      <c r="O33" s="7"/>
      <c r="P33" s="7" t="s">
        <v>106</v>
      </c>
      <c r="Q33" s="7" t="s">
        <v>1058</v>
      </c>
      <c r="R33" s="7" t="s">
        <v>1059</v>
      </c>
      <c r="S33" s="7" t="s">
        <v>1060</v>
      </c>
      <c r="T33" s="7" t="s">
        <v>109</v>
      </c>
      <c r="U33" s="7" t="s">
        <v>1061</v>
      </c>
      <c r="V33" s="8" t="s">
        <v>1062</v>
      </c>
      <c r="W33" s="7"/>
      <c r="X33" s="7"/>
      <c r="Y33" s="7"/>
      <c r="Z33" s="7"/>
      <c r="AA33" s="7"/>
      <c r="AB33" s="7"/>
      <c r="AC33" s="8" t="s">
        <v>1062</v>
      </c>
      <c r="AD33" s="7"/>
      <c r="AE33" s="7"/>
      <c r="AF33" s="7"/>
      <c r="AG33" s="7" t="s">
        <v>747</v>
      </c>
    </row>
    <row r="34" customFormat="false" ht="91" hidden="false" customHeight="false" outlineLevel="0" collapsed="false">
      <c r="A34" s="7" t="s">
        <v>1063</v>
      </c>
      <c r="B34" s="7" t="s">
        <v>116</v>
      </c>
      <c r="C34" s="7" t="s">
        <v>985</v>
      </c>
      <c r="D34" s="7" t="s">
        <v>98</v>
      </c>
      <c r="E34" s="7" t="s">
        <v>1064</v>
      </c>
      <c r="F34" s="7" t="s">
        <v>257</v>
      </c>
      <c r="G34" s="7" t="s">
        <v>81</v>
      </c>
      <c r="H34" s="7" t="s">
        <v>82</v>
      </c>
      <c r="I34" s="7" t="s">
        <v>119</v>
      </c>
      <c r="J34" s="7" t="s">
        <v>1065</v>
      </c>
      <c r="K34" s="7" t="s">
        <v>85</v>
      </c>
      <c r="L34" s="7" t="s">
        <v>1066</v>
      </c>
      <c r="M34" s="7" t="s">
        <v>1067</v>
      </c>
      <c r="N34" s="7" t="s">
        <v>1068</v>
      </c>
      <c r="O34" s="7" t="s">
        <v>1069</v>
      </c>
      <c r="P34" s="7" t="s">
        <v>1070</v>
      </c>
      <c r="Q34" s="7" t="s">
        <v>1071</v>
      </c>
      <c r="R34" s="7" t="s">
        <v>1072</v>
      </c>
      <c r="S34" s="7" t="s">
        <v>1073</v>
      </c>
      <c r="T34" s="7" t="s">
        <v>92</v>
      </c>
      <c r="U34" s="7"/>
      <c r="V34" s="7"/>
      <c r="W34" s="7"/>
      <c r="X34" s="7"/>
      <c r="Y34" s="7"/>
      <c r="Z34" s="7"/>
      <c r="AA34" s="7"/>
      <c r="AB34" s="7"/>
      <c r="AC34" s="8" t="s">
        <v>1074</v>
      </c>
      <c r="AD34" s="7"/>
      <c r="AE34" s="7" t="s">
        <v>1075</v>
      </c>
      <c r="AF34" s="7"/>
      <c r="AG34" s="7" t="s">
        <v>1076</v>
      </c>
    </row>
    <row r="35" customFormat="false" ht="35.05" hidden="false" customHeight="false" outlineLevel="0" collapsed="false">
      <c r="A35" s="7" t="s">
        <v>1077</v>
      </c>
      <c r="B35" s="7" t="s">
        <v>116</v>
      </c>
      <c r="C35" s="7" t="s">
        <v>985</v>
      </c>
      <c r="D35" s="7" t="s">
        <v>98</v>
      </c>
      <c r="E35" s="7" t="s">
        <v>1078</v>
      </c>
      <c r="F35" s="7" t="s">
        <v>100</v>
      </c>
      <c r="G35" s="7" t="s">
        <v>81</v>
      </c>
      <c r="H35" s="7" t="s">
        <v>82</v>
      </c>
      <c r="I35" s="7" t="s">
        <v>119</v>
      </c>
      <c r="J35" s="7" t="s">
        <v>1079</v>
      </c>
      <c r="K35" s="7" t="s">
        <v>85</v>
      </c>
      <c r="L35" s="7" t="s">
        <v>1080</v>
      </c>
      <c r="M35" s="7" t="s">
        <v>87</v>
      </c>
      <c r="N35" s="7"/>
      <c r="O35" s="7" t="s">
        <v>1081</v>
      </c>
      <c r="P35" s="7" t="s">
        <v>106</v>
      </c>
      <c r="Q35" s="7" t="s">
        <v>1082</v>
      </c>
      <c r="R35" s="7" t="s">
        <v>1083</v>
      </c>
      <c r="S35" s="7" t="s">
        <v>1084</v>
      </c>
      <c r="T35" s="7" t="s">
        <v>109</v>
      </c>
      <c r="U35" s="7" t="s">
        <v>1085</v>
      </c>
      <c r="V35" s="8" t="s">
        <v>1086</v>
      </c>
      <c r="W35" s="7"/>
      <c r="X35" s="7"/>
      <c r="Y35" s="7"/>
      <c r="Z35" s="7"/>
      <c r="AA35" s="7"/>
      <c r="AB35" s="7"/>
      <c r="AC35" s="8" t="s">
        <v>1087</v>
      </c>
      <c r="AD35" s="7"/>
      <c r="AE35" s="7"/>
      <c r="AF35" s="7"/>
      <c r="AG35" s="7" t="s">
        <v>270</v>
      </c>
    </row>
    <row r="36" customFormat="false" ht="23.85" hidden="false" customHeight="false" outlineLevel="0" collapsed="false">
      <c r="A36" s="7" t="s">
        <v>642</v>
      </c>
      <c r="B36" s="7" t="s">
        <v>116</v>
      </c>
      <c r="C36" s="7" t="s">
        <v>141</v>
      </c>
      <c r="D36" s="7" t="s">
        <v>98</v>
      </c>
      <c r="E36" s="7" t="s">
        <v>643</v>
      </c>
      <c r="F36" s="7" t="s">
        <v>379</v>
      </c>
      <c r="G36" s="7" t="s">
        <v>81</v>
      </c>
      <c r="H36" s="7" t="s">
        <v>82</v>
      </c>
      <c r="I36" s="7" t="s">
        <v>119</v>
      </c>
      <c r="J36" s="7" t="s">
        <v>168</v>
      </c>
      <c r="K36" s="7" t="s">
        <v>291</v>
      </c>
      <c r="L36" s="7" t="s">
        <v>644</v>
      </c>
      <c r="M36" s="7" t="s">
        <v>645</v>
      </c>
      <c r="N36" s="7"/>
      <c r="O36" s="7" t="s">
        <v>646</v>
      </c>
      <c r="P36" s="7" t="s">
        <v>647</v>
      </c>
      <c r="Q36" s="7" t="s">
        <v>648</v>
      </c>
      <c r="R36" s="7" t="s">
        <v>649</v>
      </c>
      <c r="S36" s="7"/>
      <c r="T36" s="7" t="s">
        <v>92</v>
      </c>
      <c r="U36" s="7"/>
      <c r="V36" s="7"/>
      <c r="W36" s="7"/>
      <c r="X36" s="7"/>
      <c r="Y36" s="7"/>
      <c r="Z36" s="7"/>
      <c r="AA36" s="7"/>
      <c r="AB36" s="7"/>
      <c r="AC36" s="8" t="s">
        <v>650</v>
      </c>
      <c r="AD36" s="7"/>
      <c r="AE36" s="7"/>
      <c r="AF36" s="7"/>
      <c r="AG36" s="7" t="s">
        <v>96</v>
      </c>
    </row>
    <row r="37" customFormat="false" ht="102.2" hidden="false" customHeight="false" outlineLevel="0" collapsed="false">
      <c r="A37" s="7" t="s">
        <v>651</v>
      </c>
      <c r="B37" s="7" t="s">
        <v>116</v>
      </c>
      <c r="C37" s="7" t="s">
        <v>141</v>
      </c>
      <c r="D37" s="7" t="s">
        <v>98</v>
      </c>
      <c r="E37" s="7" t="s">
        <v>652</v>
      </c>
      <c r="F37" s="7" t="s">
        <v>80</v>
      </c>
      <c r="G37" s="7" t="s">
        <v>81</v>
      </c>
      <c r="H37" s="7" t="s">
        <v>82</v>
      </c>
      <c r="I37" s="7" t="s">
        <v>119</v>
      </c>
      <c r="J37" s="7" t="s">
        <v>653</v>
      </c>
      <c r="K37" s="7" t="s">
        <v>85</v>
      </c>
      <c r="L37" s="7" t="s">
        <v>654</v>
      </c>
      <c r="M37" s="7" t="s">
        <v>87</v>
      </c>
      <c r="N37" s="7" t="s">
        <v>655</v>
      </c>
      <c r="O37" s="7"/>
      <c r="P37" s="7" t="s">
        <v>656</v>
      </c>
      <c r="Q37" s="7" t="s">
        <v>657</v>
      </c>
      <c r="R37" s="7" t="s">
        <v>658</v>
      </c>
      <c r="S37" s="7"/>
      <c r="T37" s="7" t="s">
        <v>109</v>
      </c>
      <c r="U37" s="7" t="s">
        <v>659</v>
      </c>
      <c r="V37" s="8" t="s">
        <v>660</v>
      </c>
      <c r="W37" s="7"/>
      <c r="X37" s="7"/>
      <c r="Y37" s="7"/>
      <c r="Z37" s="7"/>
      <c r="AA37" s="7"/>
      <c r="AB37" s="7" t="s">
        <v>661</v>
      </c>
      <c r="AC37" s="8" t="s">
        <v>253</v>
      </c>
      <c r="AD37" s="7"/>
      <c r="AE37" s="7" t="s">
        <v>662</v>
      </c>
      <c r="AF37" s="7"/>
      <c r="AG37" s="7" t="s">
        <v>663</v>
      </c>
    </row>
    <row r="38" customFormat="false" ht="57.45" hidden="false" customHeight="false" outlineLevel="0" collapsed="false">
      <c r="A38" s="7" t="s">
        <v>664</v>
      </c>
      <c r="B38" s="7" t="s">
        <v>116</v>
      </c>
      <c r="C38" s="7" t="s">
        <v>141</v>
      </c>
      <c r="D38" s="7" t="s">
        <v>98</v>
      </c>
      <c r="E38" s="7" t="s">
        <v>665</v>
      </c>
      <c r="F38" s="7" t="s">
        <v>379</v>
      </c>
      <c r="G38" s="7" t="s">
        <v>81</v>
      </c>
      <c r="H38" s="7" t="s">
        <v>82</v>
      </c>
      <c r="I38" s="7" t="s">
        <v>119</v>
      </c>
      <c r="J38" s="7" t="s">
        <v>666</v>
      </c>
      <c r="K38" s="7" t="s">
        <v>85</v>
      </c>
      <c r="L38" s="7" t="s">
        <v>667</v>
      </c>
      <c r="M38" s="7" t="s">
        <v>87</v>
      </c>
      <c r="N38" s="7"/>
      <c r="O38" s="7"/>
      <c r="P38" s="7" t="s">
        <v>106</v>
      </c>
      <c r="Q38" s="7" t="s">
        <v>668</v>
      </c>
      <c r="R38" s="7" t="s">
        <v>669</v>
      </c>
      <c r="S38" s="7" t="s">
        <v>670</v>
      </c>
      <c r="T38" s="7" t="s">
        <v>92</v>
      </c>
      <c r="U38" s="7"/>
      <c r="V38" s="7"/>
      <c r="W38" s="7"/>
      <c r="X38" s="7"/>
      <c r="Y38" s="7"/>
      <c r="Z38" s="7"/>
      <c r="AA38" s="7"/>
      <c r="AB38" s="7" t="s">
        <v>671</v>
      </c>
      <c r="AC38" s="8" t="s">
        <v>672</v>
      </c>
      <c r="AD38" s="7"/>
      <c r="AE38" s="7" t="s">
        <v>673</v>
      </c>
      <c r="AF38" s="7"/>
      <c r="AG38" s="7" t="s">
        <v>674</v>
      </c>
    </row>
    <row r="39" customFormat="false" ht="79.85" hidden="false" customHeight="false" outlineLevel="0" collapsed="false">
      <c r="A39" s="7" t="s">
        <v>675</v>
      </c>
      <c r="B39" s="7" t="s">
        <v>116</v>
      </c>
      <c r="C39" s="7" t="s">
        <v>141</v>
      </c>
      <c r="D39" s="7" t="s">
        <v>98</v>
      </c>
      <c r="E39" s="7" t="s">
        <v>676</v>
      </c>
      <c r="F39" s="7" t="s">
        <v>257</v>
      </c>
      <c r="G39" s="7" t="s">
        <v>81</v>
      </c>
      <c r="H39" s="7" t="s">
        <v>82</v>
      </c>
      <c r="I39" s="7" t="s">
        <v>119</v>
      </c>
      <c r="J39" s="7" t="s">
        <v>677</v>
      </c>
      <c r="K39" s="7" t="s">
        <v>85</v>
      </c>
      <c r="L39" s="7" t="s">
        <v>678</v>
      </c>
      <c r="M39" s="7" t="s">
        <v>679</v>
      </c>
      <c r="N39" s="7"/>
      <c r="O39" s="7"/>
      <c r="P39" s="7" t="s">
        <v>106</v>
      </c>
      <c r="Q39" s="7" t="s">
        <v>680</v>
      </c>
      <c r="R39" s="7" t="s">
        <v>681</v>
      </c>
      <c r="S39" s="7"/>
      <c r="T39" s="7" t="s">
        <v>92</v>
      </c>
      <c r="U39" s="7"/>
      <c r="V39" s="7"/>
      <c r="W39" s="7"/>
      <c r="X39" s="7"/>
      <c r="Y39" s="7"/>
      <c r="Z39" s="7"/>
      <c r="AA39" s="7"/>
      <c r="AB39" s="7" t="s">
        <v>682</v>
      </c>
      <c r="AC39" s="8" t="s">
        <v>683</v>
      </c>
      <c r="AD39" s="7" t="s">
        <v>684</v>
      </c>
      <c r="AE39" s="7"/>
      <c r="AF39" s="7"/>
      <c r="AG39" s="7" t="s">
        <v>685</v>
      </c>
    </row>
    <row r="40" customFormat="false" ht="35.05" hidden="false" customHeight="false" outlineLevel="0" collapsed="false">
      <c r="A40" s="7" t="s">
        <v>686</v>
      </c>
      <c r="B40" s="7" t="s">
        <v>116</v>
      </c>
      <c r="C40" s="7" t="s">
        <v>141</v>
      </c>
      <c r="D40" s="7" t="s">
        <v>98</v>
      </c>
      <c r="E40" s="7" t="s">
        <v>687</v>
      </c>
      <c r="F40" s="7" t="s">
        <v>80</v>
      </c>
      <c r="G40" s="7" t="s">
        <v>81</v>
      </c>
      <c r="H40" s="7" t="s">
        <v>82</v>
      </c>
      <c r="I40" s="7" t="s">
        <v>119</v>
      </c>
      <c r="J40" s="7" t="s">
        <v>688</v>
      </c>
      <c r="K40" s="7" t="s">
        <v>85</v>
      </c>
      <c r="L40" s="7" t="s">
        <v>105</v>
      </c>
      <c r="M40" s="7" t="s">
        <v>87</v>
      </c>
      <c r="N40" s="7"/>
      <c r="O40" s="7"/>
      <c r="P40" s="7" t="s">
        <v>106</v>
      </c>
      <c r="Q40" s="7" t="s">
        <v>144</v>
      </c>
      <c r="R40" s="7" t="s">
        <v>689</v>
      </c>
      <c r="S40" s="7"/>
      <c r="T40" s="7" t="s">
        <v>92</v>
      </c>
      <c r="U40" s="7"/>
      <c r="V40" s="7"/>
      <c r="W40" s="7"/>
      <c r="X40" s="7"/>
      <c r="Y40" s="7"/>
      <c r="Z40" s="7"/>
      <c r="AA40" s="7"/>
      <c r="AB40" s="7" t="s">
        <v>690</v>
      </c>
      <c r="AC40" s="8" t="s">
        <v>633</v>
      </c>
      <c r="AD40" s="7"/>
      <c r="AE40" s="7" t="s">
        <v>691</v>
      </c>
      <c r="AF40" s="7"/>
      <c r="AG40" s="7" t="s">
        <v>692</v>
      </c>
    </row>
    <row r="41" customFormat="false" ht="35.05" hidden="false" customHeight="false" outlineLevel="0" collapsed="false">
      <c r="A41" s="7" t="s">
        <v>693</v>
      </c>
      <c r="B41" s="7" t="s">
        <v>116</v>
      </c>
      <c r="C41" s="7" t="s">
        <v>141</v>
      </c>
      <c r="D41" s="7" t="s">
        <v>98</v>
      </c>
      <c r="E41" s="7" t="s">
        <v>694</v>
      </c>
      <c r="F41" s="7" t="s">
        <v>257</v>
      </c>
      <c r="G41" s="7" t="s">
        <v>81</v>
      </c>
      <c r="H41" s="7" t="s">
        <v>82</v>
      </c>
      <c r="I41" s="7" t="s">
        <v>119</v>
      </c>
      <c r="J41" s="7" t="s">
        <v>695</v>
      </c>
      <c r="K41" s="7" t="s">
        <v>85</v>
      </c>
      <c r="L41" s="7" t="s">
        <v>105</v>
      </c>
      <c r="M41" s="7" t="s">
        <v>87</v>
      </c>
      <c r="N41" s="7"/>
      <c r="O41" s="7"/>
      <c r="P41" s="7" t="s">
        <v>106</v>
      </c>
      <c r="Q41" s="7" t="s">
        <v>144</v>
      </c>
      <c r="R41" s="7" t="s">
        <v>696</v>
      </c>
      <c r="S41" s="7" t="s">
        <v>697</v>
      </c>
      <c r="T41" s="7" t="s">
        <v>92</v>
      </c>
      <c r="U41" s="7"/>
      <c r="V41" s="7"/>
      <c r="W41" s="7"/>
      <c r="X41" s="7"/>
      <c r="Y41" s="7"/>
      <c r="Z41" s="7"/>
      <c r="AA41" s="7"/>
      <c r="AB41" s="7"/>
      <c r="AC41" s="8" t="s">
        <v>672</v>
      </c>
      <c r="AD41" s="7" t="s">
        <v>698</v>
      </c>
      <c r="AE41" s="7"/>
      <c r="AF41" s="7"/>
      <c r="AG41" s="7" t="s">
        <v>96</v>
      </c>
    </row>
    <row r="42" customFormat="false" ht="79.85" hidden="false" customHeight="false" outlineLevel="0" collapsed="false">
      <c r="A42" s="7" t="s">
        <v>699</v>
      </c>
      <c r="B42" s="7" t="s">
        <v>116</v>
      </c>
      <c r="C42" s="7" t="s">
        <v>141</v>
      </c>
      <c r="D42" s="7" t="s">
        <v>98</v>
      </c>
      <c r="E42" s="7" t="s">
        <v>700</v>
      </c>
      <c r="F42" s="7" t="s">
        <v>379</v>
      </c>
      <c r="G42" s="7" t="s">
        <v>81</v>
      </c>
      <c r="H42" s="7" t="s">
        <v>82</v>
      </c>
      <c r="I42" s="7" t="s">
        <v>119</v>
      </c>
      <c r="J42" s="7" t="s">
        <v>701</v>
      </c>
      <c r="K42" s="7" t="s">
        <v>85</v>
      </c>
      <c r="L42" s="7" t="s">
        <v>702</v>
      </c>
      <c r="M42" s="7" t="s">
        <v>703</v>
      </c>
      <c r="N42" s="7"/>
      <c r="O42" s="7" t="s">
        <v>704</v>
      </c>
      <c r="P42" s="7" t="s">
        <v>705</v>
      </c>
      <c r="Q42" s="7" t="s">
        <v>706</v>
      </c>
      <c r="R42" s="7" t="s">
        <v>707</v>
      </c>
      <c r="S42" s="7" t="s">
        <v>670</v>
      </c>
      <c r="T42" s="7" t="s">
        <v>92</v>
      </c>
      <c r="U42" s="7"/>
      <c r="V42" s="7"/>
      <c r="W42" s="7"/>
      <c r="X42" s="7"/>
      <c r="Y42" s="7"/>
      <c r="Z42" s="7"/>
      <c r="AA42" s="7"/>
      <c r="AB42" s="7" t="s">
        <v>708</v>
      </c>
      <c r="AC42" s="8" t="s">
        <v>709</v>
      </c>
      <c r="AD42" s="7"/>
      <c r="AE42" s="7" t="s">
        <v>710</v>
      </c>
      <c r="AF42" s="7"/>
      <c r="AG42" s="7" t="s">
        <v>711</v>
      </c>
    </row>
    <row r="43" customFormat="false" ht="91" hidden="false" customHeight="false" outlineLevel="0" collapsed="false">
      <c r="A43" s="7" t="s">
        <v>115</v>
      </c>
      <c r="B43" s="7" t="s">
        <v>116</v>
      </c>
      <c r="C43" s="7" t="s">
        <v>77</v>
      </c>
      <c r="D43" s="7" t="s">
        <v>78</v>
      </c>
      <c r="E43" s="7" t="s">
        <v>117</v>
      </c>
      <c r="F43" s="7" t="s">
        <v>118</v>
      </c>
      <c r="G43" s="7" t="s">
        <v>81</v>
      </c>
      <c r="H43" s="7" t="s">
        <v>82</v>
      </c>
      <c r="I43" s="7" t="s">
        <v>119</v>
      </c>
      <c r="J43" s="7" t="s">
        <v>120</v>
      </c>
      <c r="K43" s="7" t="s">
        <v>121</v>
      </c>
      <c r="L43" s="7" t="s">
        <v>105</v>
      </c>
      <c r="M43" s="7" t="s">
        <v>122</v>
      </c>
      <c r="N43" s="7"/>
      <c r="O43" s="7"/>
      <c r="P43" s="7" t="s">
        <v>123</v>
      </c>
      <c r="Q43" s="7" t="s">
        <v>124</v>
      </c>
      <c r="R43" s="7" t="s">
        <v>125</v>
      </c>
      <c r="S43" s="7" t="s">
        <v>126</v>
      </c>
      <c r="T43" s="7" t="s">
        <v>92</v>
      </c>
      <c r="U43" s="7"/>
      <c r="V43" s="7"/>
      <c r="W43" s="7"/>
      <c r="X43" s="7"/>
      <c r="Y43" s="7"/>
      <c r="Z43" s="7"/>
      <c r="AA43" s="7"/>
      <c r="AB43" s="7"/>
      <c r="AC43" s="8" t="s">
        <v>127</v>
      </c>
      <c r="AD43" s="7" t="s">
        <v>128</v>
      </c>
      <c r="AE43" s="7" t="s">
        <v>129</v>
      </c>
      <c r="AF43" s="7"/>
      <c r="AG43" s="7" t="s">
        <v>130</v>
      </c>
    </row>
    <row r="44" customFormat="false" ht="35.05" hidden="false" customHeight="false" outlineLevel="0" collapsed="false">
      <c r="A44" s="7" t="s">
        <v>1088</v>
      </c>
      <c r="B44" s="7" t="s">
        <v>116</v>
      </c>
      <c r="C44" s="7" t="s">
        <v>985</v>
      </c>
      <c r="D44" s="7" t="s">
        <v>78</v>
      </c>
      <c r="E44" s="7" t="s">
        <v>1089</v>
      </c>
      <c r="F44" s="7" t="s">
        <v>80</v>
      </c>
      <c r="G44" s="7" t="s">
        <v>81</v>
      </c>
      <c r="H44" s="7" t="s">
        <v>82</v>
      </c>
      <c r="I44" s="7" t="s">
        <v>119</v>
      </c>
      <c r="J44" s="7" t="s">
        <v>1090</v>
      </c>
      <c r="K44" s="7" t="s">
        <v>85</v>
      </c>
      <c r="L44" s="7" t="s">
        <v>1091</v>
      </c>
      <c r="M44" s="7" t="s">
        <v>87</v>
      </c>
      <c r="N44" s="7"/>
      <c r="O44" s="7"/>
      <c r="P44" s="7" t="s">
        <v>88</v>
      </c>
      <c r="Q44" s="7" t="s">
        <v>988</v>
      </c>
      <c r="R44" s="7" t="s">
        <v>1092</v>
      </c>
      <c r="S44" s="7" t="s">
        <v>1093</v>
      </c>
      <c r="T44" s="7" t="s">
        <v>1014</v>
      </c>
      <c r="U44" s="7"/>
      <c r="V44" s="7"/>
      <c r="W44" s="7"/>
      <c r="X44" s="7"/>
      <c r="Y44" s="7" t="s">
        <v>1094</v>
      </c>
      <c r="Z44" s="7"/>
      <c r="AA44" s="7"/>
      <c r="AB44" s="7" t="s">
        <v>1095</v>
      </c>
      <c r="AC44" s="8" t="s">
        <v>1096</v>
      </c>
      <c r="AD44" s="7" t="s">
        <v>1097</v>
      </c>
      <c r="AE44" s="7"/>
      <c r="AF44" s="7"/>
      <c r="AG44" s="7" t="s">
        <v>1098</v>
      </c>
    </row>
    <row r="45" customFormat="false" ht="113.4" hidden="false" customHeight="false" outlineLevel="0" collapsed="false">
      <c r="A45" s="7" t="s">
        <v>1099</v>
      </c>
      <c r="B45" s="7" t="s">
        <v>116</v>
      </c>
      <c r="C45" s="7" t="s">
        <v>985</v>
      </c>
      <c r="D45" s="7" t="s">
        <v>78</v>
      </c>
      <c r="E45" s="7" t="s">
        <v>1100</v>
      </c>
      <c r="F45" s="7" t="s">
        <v>257</v>
      </c>
      <c r="G45" s="7" t="s">
        <v>81</v>
      </c>
      <c r="H45" s="7" t="s">
        <v>82</v>
      </c>
      <c r="I45" s="7" t="s">
        <v>119</v>
      </c>
      <c r="J45" s="7" t="s">
        <v>1101</v>
      </c>
      <c r="K45" s="7" t="s">
        <v>85</v>
      </c>
      <c r="L45" s="7" t="s">
        <v>105</v>
      </c>
      <c r="M45" s="7" t="s">
        <v>87</v>
      </c>
      <c r="N45" s="7" t="s">
        <v>1102</v>
      </c>
      <c r="O45" s="7" t="s">
        <v>1103</v>
      </c>
      <c r="P45" s="7" t="s">
        <v>88</v>
      </c>
      <c r="Q45" s="7" t="s">
        <v>1104</v>
      </c>
      <c r="R45" s="7" t="s">
        <v>1105</v>
      </c>
      <c r="S45" s="7"/>
      <c r="T45" s="7" t="s">
        <v>109</v>
      </c>
      <c r="U45" s="7" t="s">
        <v>1106</v>
      </c>
      <c r="V45" s="8" t="s">
        <v>1107</v>
      </c>
      <c r="W45" s="7"/>
      <c r="X45" s="7"/>
      <c r="Y45" s="7" t="s">
        <v>1108</v>
      </c>
      <c r="Z45" s="7"/>
      <c r="AA45" s="7"/>
      <c r="AB45" s="7"/>
      <c r="AC45" s="8" t="s">
        <v>1107</v>
      </c>
      <c r="AD45" s="7"/>
      <c r="AE45" s="7" t="s">
        <v>1109</v>
      </c>
      <c r="AF45" s="7" t="s">
        <v>1110</v>
      </c>
      <c r="AG45" s="7" t="s">
        <v>1111</v>
      </c>
    </row>
    <row r="46" customFormat="false" ht="23.85" hidden="false" customHeight="false" outlineLevel="0" collapsed="false">
      <c r="A46" s="7" t="s">
        <v>1112</v>
      </c>
      <c r="B46" s="7" t="s">
        <v>116</v>
      </c>
      <c r="C46" s="7" t="s">
        <v>985</v>
      </c>
      <c r="D46" s="7" t="s">
        <v>78</v>
      </c>
      <c r="E46" s="7" t="s">
        <v>1113</v>
      </c>
      <c r="F46" s="7" t="s">
        <v>80</v>
      </c>
      <c r="G46" s="7" t="s">
        <v>81</v>
      </c>
      <c r="H46" s="7" t="s">
        <v>82</v>
      </c>
      <c r="I46" s="7" t="s">
        <v>119</v>
      </c>
      <c r="J46" s="7" t="s">
        <v>1114</v>
      </c>
      <c r="K46" s="7" t="s">
        <v>85</v>
      </c>
      <c r="L46" s="7" t="s">
        <v>105</v>
      </c>
      <c r="M46" s="7" t="s">
        <v>87</v>
      </c>
      <c r="N46" s="7" t="s">
        <v>1115</v>
      </c>
      <c r="O46" s="7"/>
      <c r="P46" s="7" t="s">
        <v>88</v>
      </c>
      <c r="Q46" s="7" t="s">
        <v>988</v>
      </c>
      <c r="R46" s="7" t="s">
        <v>1116</v>
      </c>
      <c r="S46" s="7"/>
      <c r="T46" s="7" t="s">
        <v>109</v>
      </c>
      <c r="U46" s="7" t="s">
        <v>1117</v>
      </c>
      <c r="V46" s="8" t="s">
        <v>1118</v>
      </c>
      <c r="W46" s="7"/>
      <c r="X46" s="7"/>
      <c r="Y46" s="7"/>
      <c r="Z46" s="7"/>
      <c r="AA46" s="7"/>
      <c r="AB46" s="7"/>
      <c r="AC46" s="8" t="s">
        <v>1118</v>
      </c>
      <c r="AD46" s="7"/>
      <c r="AE46" s="7" t="s">
        <v>1119</v>
      </c>
      <c r="AF46" s="7"/>
      <c r="AG46" s="7" t="s">
        <v>1120</v>
      </c>
    </row>
    <row r="47" customFormat="false" ht="35.05" hidden="false" customHeight="false" outlineLevel="0" collapsed="false">
      <c r="A47" s="7" t="s">
        <v>1121</v>
      </c>
      <c r="B47" s="7" t="s">
        <v>116</v>
      </c>
      <c r="C47" s="7" t="s">
        <v>985</v>
      </c>
      <c r="D47" s="7" t="s">
        <v>78</v>
      </c>
      <c r="E47" s="7" t="s">
        <v>1122</v>
      </c>
      <c r="F47" s="7" t="s">
        <v>100</v>
      </c>
      <c r="G47" s="7" t="s">
        <v>81</v>
      </c>
      <c r="H47" s="7" t="s">
        <v>82</v>
      </c>
      <c r="I47" s="7" t="s">
        <v>119</v>
      </c>
      <c r="J47" s="7" t="s">
        <v>1123</v>
      </c>
      <c r="K47" s="7" t="s">
        <v>85</v>
      </c>
      <c r="L47" s="7" t="s">
        <v>1124</v>
      </c>
      <c r="M47" s="7" t="s">
        <v>87</v>
      </c>
      <c r="N47" s="7"/>
      <c r="O47" s="7"/>
      <c r="P47" s="7" t="s">
        <v>1125</v>
      </c>
      <c r="Q47" s="7" t="s">
        <v>1126</v>
      </c>
      <c r="R47" s="7" t="s">
        <v>1127</v>
      </c>
      <c r="S47" s="7" t="s">
        <v>1128</v>
      </c>
      <c r="T47" s="7" t="s">
        <v>109</v>
      </c>
      <c r="U47" s="7" t="s">
        <v>1129</v>
      </c>
      <c r="V47" s="8" t="s">
        <v>1130</v>
      </c>
      <c r="W47" s="7"/>
      <c r="X47" s="7"/>
      <c r="Y47" s="7"/>
      <c r="Z47" s="7"/>
      <c r="AA47" s="7"/>
      <c r="AB47" s="7" t="s">
        <v>1131</v>
      </c>
      <c r="AC47" s="8" t="s">
        <v>1130</v>
      </c>
      <c r="AD47" s="7"/>
      <c r="AE47" s="7"/>
      <c r="AF47" s="7"/>
      <c r="AG47" s="7" t="s">
        <v>767</v>
      </c>
    </row>
    <row r="48" customFormat="false" ht="79.85" hidden="false" customHeight="false" outlineLevel="0" collapsed="false">
      <c r="A48" s="7" t="s">
        <v>824</v>
      </c>
      <c r="B48" s="7" t="s">
        <v>811</v>
      </c>
      <c r="C48" s="7" t="s">
        <v>141</v>
      </c>
      <c r="D48" s="7" t="s">
        <v>98</v>
      </c>
      <c r="E48" s="7" t="s">
        <v>825</v>
      </c>
      <c r="F48" s="7" t="s">
        <v>100</v>
      </c>
      <c r="G48" s="7" t="s">
        <v>81</v>
      </c>
      <c r="H48" s="7" t="s">
        <v>82</v>
      </c>
      <c r="I48" s="7" t="s">
        <v>119</v>
      </c>
      <c r="J48" s="7" t="s">
        <v>211</v>
      </c>
      <c r="K48" s="7" t="s">
        <v>85</v>
      </c>
      <c r="L48" s="7" t="s">
        <v>826</v>
      </c>
      <c r="M48" s="7" t="s">
        <v>87</v>
      </c>
      <c r="N48" s="7"/>
      <c r="O48" s="7"/>
      <c r="P48" s="7" t="s">
        <v>106</v>
      </c>
      <c r="Q48" s="7" t="s">
        <v>144</v>
      </c>
      <c r="R48" s="7" t="s">
        <v>827</v>
      </c>
      <c r="S48" s="7"/>
      <c r="T48" s="7" t="s">
        <v>92</v>
      </c>
      <c r="U48" s="7"/>
      <c r="V48" s="7"/>
      <c r="W48" s="7"/>
      <c r="X48" s="7"/>
      <c r="Y48" s="7"/>
      <c r="Z48" s="7"/>
      <c r="AA48" s="7"/>
      <c r="AB48" s="7"/>
      <c r="AC48" s="8" t="s">
        <v>176</v>
      </c>
      <c r="AD48" s="7"/>
      <c r="AE48" s="7" t="s">
        <v>178</v>
      </c>
      <c r="AF48" s="7"/>
      <c r="AG48" s="7" t="s">
        <v>828</v>
      </c>
    </row>
    <row r="49" customFormat="false" ht="68.65" hidden="false" customHeight="false" outlineLevel="0" collapsed="false">
      <c r="A49" s="7" t="s">
        <v>829</v>
      </c>
      <c r="B49" s="7" t="s">
        <v>811</v>
      </c>
      <c r="C49" s="7" t="s">
        <v>141</v>
      </c>
      <c r="D49" s="7" t="s">
        <v>98</v>
      </c>
      <c r="E49" s="7" t="s">
        <v>830</v>
      </c>
      <c r="F49" s="7" t="s">
        <v>80</v>
      </c>
      <c r="G49" s="7" t="s">
        <v>81</v>
      </c>
      <c r="H49" s="7" t="s">
        <v>82</v>
      </c>
      <c r="I49" s="7" t="s">
        <v>119</v>
      </c>
      <c r="J49" s="7" t="s">
        <v>831</v>
      </c>
      <c r="K49" s="7" t="s">
        <v>85</v>
      </c>
      <c r="L49" s="7" t="s">
        <v>832</v>
      </c>
      <c r="M49" s="7" t="s">
        <v>87</v>
      </c>
      <c r="N49" s="7" t="s">
        <v>833</v>
      </c>
      <c r="O49" s="7" t="s">
        <v>834</v>
      </c>
      <c r="P49" s="7" t="s">
        <v>106</v>
      </c>
      <c r="Q49" s="7" t="s">
        <v>144</v>
      </c>
      <c r="R49" s="7" t="s">
        <v>835</v>
      </c>
      <c r="S49" s="7"/>
      <c r="T49" s="7" t="s">
        <v>92</v>
      </c>
      <c r="U49" s="7"/>
      <c r="V49" s="7"/>
      <c r="W49" s="7"/>
      <c r="X49" s="7"/>
      <c r="Y49" s="7"/>
      <c r="Z49" s="7"/>
      <c r="AA49" s="7"/>
      <c r="AB49" s="7" t="s">
        <v>836</v>
      </c>
      <c r="AC49" s="8" t="s">
        <v>639</v>
      </c>
      <c r="AD49" s="7" t="s">
        <v>837</v>
      </c>
      <c r="AE49" s="7" t="s">
        <v>838</v>
      </c>
      <c r="AF49" s="7"/>
      <c r="AG49" s="7" t="s">
        <v>839</v>
      </c>
    </row>
    <row r="50" customFormat="false" ht="57.45" hidden="false" customHeight="false" outlineLevel="0" collapsed="false">
      <c r="A50" s="7" t="s">
        <v>967</v>
      </c>
      <c r="B50" s="7" t="s">
        <v>811</v>
      </c>
      <c r="C50" s="7" t="s">
        <v>955</v>
      </c>
      <c r="D50" s="7" t="s">
        <v>98</v>
      </c>
      <c r="E50" s="7" t="s">
        <v>968</v>
      </c>
      <c r="F50" s="7" t="s">
        <v>257</v>
      </c>
      <c r="G50" s="7" t="s">
        <v>81</v>
      </c>
      <c r="H50" s="7" t="s">
        <v>82</v>
      </c>
      <c r="I50" s="7" t="s">
        <v>119</v>
      </c>
      <c r="J50" s="7" t="s">
        <v>969</v>
      </c>
      <c r="K50" s="7" t="s">
        <v>85</v>
      </c>
      <c r="L50" s="7" t="s">
        <v>105</v>
      </c>
      <c r="M50" s="7" t="s">
        <v>87</v>
      </c>
      <c r="N50" s="7" t="s">
        <v>970</v>
      </c>
      <c r="O50" s="7"/>
      <c r="P50" s="7" t="s">
        <v>106</v>
      </c>
      <c r="Q50" s="7" t="s">
        <v>144</v>
      </c>
      <c r="R50" s="7" t="s">
        <v>971</v>
      </c>
      <c r="S50" s="7"/>
      <c r="T50" s="7" t="s">
        <v>92</v>
      </c>
      <c r="U50" s="7"/>
      <c r="V50" s="7"/>
      <c r="W50" s="7"/>
      <c r="X50" s="7"/>
      <c r="Y50" s="7"/>
      <c r="Z50" s="7"/>
      <c r="AA50" s="7"/>
      <c r="AB50" s="7"/>
      <c r="AC50" s="8" t="s">
        <v>965</v>
      </c>
      <c r="AD50" s="7"/>
      <c r="AE50" s="7" t="s">
        <v>972</v>
      </c>
      <c r="AF50" s="7" t="s">
        <v>973</v>
      </c>
      <c r="AG50" s="7" t="s">
        <v>974</v>
      </c>
    </row>
    <row r="51" customFormat="false" ht="35.05" hidden="false" customHeight="false" outlineLevel="0" collapsed="false">
      <c r="A51" s="7" t="s">
        <v>1132</v>
      </c>
      <c r="B51" s="7" t="s">
        <v>811</v>
      </c>
      <c r="C51" s="7" t="s">
        <v>985</v>
      </c>
      <c r="D51" s="7" t="s">
        <v>98</v>
      </c>
      <c r="E51" s="7" t="s">
        <v>1133</v>
      </c>
      <c r="F51" s="7" t="s">
        <v>257</v>
      </c>
      <c r="G51" s="7" t="s">
        <v>81</v>
      </c>
      <c r="H51" s="7" t="s">
        <v>82</v>
      </c>
      <c r="I51" s="7" t="s">
        <v>119</v>
      </c>
      <c r="J51" s="7" t="s">
        <v>1134</v>
      </c>
      <c r="K51" s="7" t="s">
        <v>85</v>
      </c>
      <c r="L51" s="7" t="s">
        <v>105</v>
      </c>
      <c r="M51" s="7" t="s">
        <v>87</v>
      </c>
      <c r="N51" s="7"/>
      <c r="O51" s="7"/>
      <c r="P51" s="7" t="s">
        <v>106</v>
      </c>
      <c r="Q51" s="7" t="s">
        <v>988</v>
      </c>
      <c r="R51" s="7" t="s">
        <v>1135</v>
      </c>
      <c r="S51" s="7"/>
      <c r="T51" s="7" t="s">
        <v>109</v>
      </c>
      <c r="U51" s="7" t="s">
        <v>1136</v>
      </c>
      <c r="V51" s="8" t="s">
        <v>1137</v>
      </c>
      <c r="W51" s="7"/>
      <c r="X51" s="7"/>
      <c r="Y51" s="7"/>
      <c r="Z51" s="7"/>
      <c r="AA51" s="7"/>
      <c r="AB51" s="7"/>
      <c r="AC51" s="8" t="s">
        <v>1137</v>
      </c>
      <c r="AD51" s="7" t="s">
        <v>1138</v>
      </c>
      <c r="AE51" s="7"/>
      <c r="AF51" s="7"/>
      <c r="AG51" s="7" t="s">
        <v>1139</v>
      </c>
    </row>
    <row r="52" customFormat="false" ht="35.05" hidden="false" customHeight="false" outlineLevel="0" collapsed="false">
      <c r="A52" s="7" t="s">
        <v>840</v>
      </c>
      <c r="B52" s="7" t="s">
        <v>811</v>
      </c>
      <c r="C52" s="7" t="s">
        <v>141</v>
      </c>
      <c r="D52" s="7" t="s">
        <v>98</v>
      </c>
      <c r="E52" s="7" t="s">
        <v>841</v>
      </c>
      <c r="F52" s="7" t="s">
        <v>379</v>
      </c>
      <c r="G52" s="7" t="s">
        <v>81</v>
      </c>
      <c r="H52" s="7" t="s">
        <v>82</v>
      </c>
      <c r="I52" s="7" t="s">
        <v>119</v>
      </c>
      <c r="J52" s="7" t="s">
        <v>168</v>
      </c>
      <c r="K52" s="7" t="s">
        <v>85</v>
      </c>
      <c r="L52" s="7" t="s">
        <v>105</v>
      </c>
      <c r="M52" s="7" t="s">
        <v>87</v>
      </c>
      <c r="N52" s="7"/>
      <c r="O52" s="7"/>
      <c r="P52" s="7" t="s">
        <v>106</v>
      </c>
      <c r="Q52" s="7" t="s">
        <v>144</v>
      </c>
      <c r="R52" s="7" t="s">
        <v>842</v>
      </c>
      <c r="S52" s="7"/>
      <c r="T52" s="7" t="s">
        <v>92</v>
      </c>
      <c r="U52" s="7"/>
      <c r="V52" s="7"/>
      <c r="W52" s="7"/>
      <c r="X52" s="7"/>
      <c r="Y52" s="7"/>
      <c r="Z52" s="7"/>
      <c r="AA52" s="7"/>
      <c r="AB52" s="7"/>
      <c r="AC52" s="8" t="s">
        <v>843</v>
      </c>
      <c r="AD52" s="7" t="s">
        <v>177</v>
      </c>
      <c r="AE52" s="7"/>
      <c r="AF52" s="7"/>
      <c r="AG52" s="7" t="s">
        <v>844</v>
      </c>
    </row>
    <row r="53" customFormat="false" ht="68.65" hidden="false" customHeight="false" outlineLevel="0" collapsed="false">
      <c r="A53" s="7" t="s">
        <v>845</v>
      </c>
      <c r="B53" s="7" t="s">
        <v>811</v>
      </c>
      <c r="C53" s="7" t="s">
        <v>141</v>
      </c>
      <c r="D53" s="7" t="s">
        <v>98</v>
      </c>
      <c r="E53" s="7" t="s">
        <v>846</v>
      </c>
      <c r="F53" s="7" t="s">
        <v>182</v>
      </c>
      <c r="G53" s="7" t="s">
        <v>81</v>
      </c>
      <c r="H53" s="7" t="s">
        <v>82</v>
      </c>
      <c r="I53" s="7" t="s">
        <v>119</v>
      </c>
      <c r="J53" s="7" t="s">
        <v>847</v>
      </c>
      <c r="K53" s="7" t="s">
        <v>85</v>
      </c>
      <c r="L53" s="7" t="s">
        <v>105</v>
      </c>
      <c r="M53" s="7" t="s">
        <v>87</v>
      </c>
      <c r="N53" s="7" t="s">
        <v>848</v>
      </c>
      <c r="O53" s="7"/>
      <c r="P53" s="7" t="s">
        <v>106</v>
      </c>
      <c r="Q53" s="7" t="s">
        <v>144</v>
      </c>
      <c r="R53" s="7" t="s">
        <v>849</v>
      </c>
      <c r="S53" s="7" t="s">
        <v>850</v>
      </c>
      <c r="T53" s="7" t="s">
        <v>92</v>
      </c>
      <c r="U53" s="7"/>
      <c r="V53" s="7"/>
      <c r="W53" s="7"/>
      <c r="X53" s="7"/>
      <c r="Y53" s="7"/>
      <c r="Z53" s="7"/>
      <c r="AA53" s="7"/>
      <c r="AB53" s="7" t="s">
        <v>851</v>
      </c>
      <c r="AC53" s="8" t="s">
        <v>176</v>
      </c>
      <c r="AD53" s="7" t="s">
        <v>852</v>
      </c>
      <c r="AE53" s="7" t="s">
        <v>853</v>
      </c>
      <c r="AF53" s="7"/>
      <c r="AG53" s="7" t="s">
        <v>854</v>
      </c>
    </row>
    <row r="54" customFormat="false" ht="113.4" hidden="false" customHeight="false" outlineLevel="0" collapsed="false">
      <c r="A54" s="7" t="s">
        <v>1140</v>
      </c>
      <c r="B54" s="7" t="s">
        <v>811</v>
      </c>
      <c r="C54" s="7" t="s">
        <v>985</v>
      </c>
      <c r="D54" s="7" t="s">
        <v>98</v>
      </c>
      <c r="E54" s="7" t="s">
        <v>1141</v>
      </c>
      <c r="F54" s="7" t="s">
        <v>100</v>
      </c>
      <c r="G54" s="7" t="s">
        <v>81</v>
      </c>
      <c r="H54" s="7" t="s">
        <v>82</v>
      </c>
      <c r="I54" s="7" t="s">
        <v>119</v>
      </c>
      <c r="J54" s="7" t="s">
        <v>1142</v>
      </c>
      <c r="K54" s="7" t="s">
        <v>85</v>
      </c>
      <c r="L54" s="7" t="s">
        <v>1143</v>
      </c>
      <c r="M54" s="7" t="s">
        <v>87</v>
      </c>
      <c r="N54" s="7" t="s">
        <v>1144</v>
      </c>
      <c r="O54" s="7"/>
      <c r="P54" s="7" t="s">
        <v>106</v>
      </c>
      <c r="Q54" s="7" t="s">
        <v>1145</v>
      </c>
      <c r="R54" s="7" t="s">
        <v>1146</v>
      </c>
      <c r="S54" s="7" t="s">
        <v>1147</v>
      </c>
      <c r="T54" s="7" t="s">
        <v>92</v>
      </c>
      <c r="U54" s="7"/>
      <c r="V54" s="7"/>
      <c r="W54" s="7"/>
      <c r="X54" s="7"/>
      <c r="Y54" s="7"/>
      <c r="Z54" s="7"/>
      <c r="AA54" s="7"/>
      <c r="AB54" s="7"/>
      <c r="AC54" s="8" t="s">
        <v>1148</v>
      </c>
      <c r="AD54" s="7" t="s">
        <v>1149</v>
      </c>
      <c r="AE54" s="7" t="s">
        <v>1150</v>
      </c>
      <c r="AF54" s="7"/>
      <c r="AG54" s="7" t="s">
        <v>1151</v>
      </c>
    </row>
    <row r="55" customFormat="false" ht="23.85" hidden="false" customHeight="false" outlineLevel="0" collapsed="false">
      <c r="A55" s="7" t="s">
        <v>1152</v>
      </c>
      <c r="B55" s="7" t="s">
        <v>811</v>
      </c>
      <c r="C55" s="7" t="s">
        <v>985</v>
      </c>
      <c r="D55" s="7" t="s">
        <v>98</v>
      </c>
      <c r="E55" s="7" t="s">
        <v>1153</v>
      </c>
      <c r="F55" s="7" t="s">
        <v>257</v>
      </c>
      <c r="G55" s="7" t="s">
        <v>81</v>
      </c>
      <c r="H55" s="7" t="s">
        <v>82</v>
      </c>
      <c r="I55" s="7" t="s">
        <v>119</v>
      </c>
      <c r="J55" s="7" t="s">
        <v>695</v>
      </c>
      <c r="K55" s="7" t="s">
        <v>85</v>
      </c>
      <c r="L55" s="7" t="s">
        <v>1154</v>
      </c>
      <c r="M55" s="7" t="s">
        <v>87</v>
      </c>
      <c r="N55" s="7"/>
      <c r="O55" s="7"/>
      <c r="P55" s="7" t="s">
        <v>106</v>
      </c>
      <c r="Q55" s="7" t="s">
        <v>988</v>
      </c>
      <c r="R55" s="7" t="s">
        <v>1155</v>
      </c>
      <c r="S55" s="7" t="s">
        <v>1156</v>
      </c>
      <c r="T55" s="7" t="s">
        <v>92</v>
      </c>
      <c r="U55" s="7"/>
      <c r="V55" s="7"/>
      <c r="W55" s="7"/>
      <c r="X55" s="7"/>
      <c r="Y55" s="7"/>
      <c r="Z55" s="7"/>
      <c r="AA55" s="7"/>
      <c r="AB55" s="7"/>
      <c r="AC55" s="8" t="s">
        <v>1157</v>
      </c>
      <c r="AD55" s="7"/>
      <c r="AE55" s="7"/>
      <c r="AF55" s="7"/>
      <c r="AG55" s="7" t="s">
        <v>1158</v>
      </c>
    </row>
    <row r="56" customFormat="false" ht="102.2" hidden="false" customHeight="false" outlineLevel="0" collapsed="false">
      <c r="A56" s="7" t="s">
        <v>855</v>
      </c>
      <c r="B56" s="7" t="s">
        <v>811</v>
      </c>
      <c r="C56" s="7" t="s">
        <v>141</v>
      </c>
      <c r="D56" s="7" t="s">
        <v>98</v>
      </c>
      <c r="E56" s="7" t="s">
        <v>856</v>
      </c>
      <c r="F56" s="7" t="s">
        <v>379</v>
      </c>
      <c r="G56" s="7" t="s">
        <v>81</v>
      </c>
      <c r="H56" s="7" t="s">
        <v>82</v>
      </c>
      <c r="I56" s="7" t="s">
        <v>119</v>
      </c>
      <c r="J56" s="7" t="s">
        <v>857</v>
      </c>
      <c r="K56" s="7" t="s">
        <v>85</v>
      </c>
      <c r="L56" s="7" t="s">
        <v>105</v>
      </c>
      <c r="M56" s="7" t="s">
        <v>87</v>
      </c>
      <c r="N56" s="7"/>
      <c r="O56" s="7"/>
      <c r="P56" s="7" t="s">
        <v>106</v>
      </c>
      <c r="Q56" s="7" t="s">
        <v>858</v>
      </c>
      <c r="R56" s="7" t="s">
        <v>859</v>
      </c>
      <c r="S56" s="7" t="s">
        <v>860</v>
      </c>
      <c r="T56" s="7" t="s">
        <v>92</v>
      </c>
      <c r="U56" s="7"/>
      <c r="V56" s="7"/>
      <c r="W56" s="7"/>
      <c r="X56" s="7"/>
      <c r="Y56" s="7"/>
      <c r="Z56" s="7"/>
      <c r="AA56" s="7"/>
      <c r="AB56" s="7"/>
      <c r="AC56" s="8" t="s">
        <v>861</v>
      </c>
      <c r="AD56" s="7"/>
      <c r="AE56" s="7" t="s">
        <v>862</v>
      </c>
      <c r="AF56" s="7"/>
      <c r="AG56" s="7" t="s">
        <v>863</v>
      </c>
    </row>
    <row r="57" customFormat="false" ht="68.65" hidden="false" customHeight="false" outlineLevel="0" collapsed="false">
      <c r="A57" s="7" t="s">
        <v>810</v>
      </c>
      <c r="B57" s="7" t="s">
        <v>811</v>
      </c>
      <c r="C57" s="7" t="s">
        <v>141</v>
      </c>
      <c r="D57" s="7" t="s">
        <v>78</v>
      </c>
      <c r="E57" s="7" t="s">
        <v>812</v>
      </c>
      <c r="F57" s="7" t="s">
        <v>118</v>
      </c>
      <c r="G57" s="7" t="s">
        <v>81</v>
      </c>
      <c r="H57" s="7" t="s">
        <v>82</v>
      </c>
      <c r="I57" s="7" t="s">
        <v>119</v>
      </c>
      <c r="J57" s="7" t="s">
        <v>813</v>
      </c>
      <c r="K57" s="7" t="s">
        <v>814</v>
      </c>
      <c r="L57" s="7" t="s">
        <v>815</v>
      </c>
      <c r="M57" s="7" t="s">
        <v>816</v>
      </c>
      <c r="N57" s="7"/>
      <c r="O57" s="7"/>
      <c r="P57" s="7" t="s">
        <v>817</v>
      </c>
      <c r="Q57" s="7" t="s">
        <v>818</v>
      </c>
      <c r="R57" s="7" t="s">
        <v>819</v>
      </c>
      <c r="S57" s="7"/>
      <c r="T57" s="7" t="s">
        <v>92</v>
      </c>
      <c r="U57" s="7"/>
      <c r="V57" s="7"/>
      <c r="W57" s="7"/>
      <c r="X57" s="7"/>
      <c r="Y57" s="7"/>
      <c r="Z57" s="7"/>
      <c r="AA57" s="7"/>
      <c r="AB57" s="7" t="s">
        <v>820</v>
      </c>
      <c r="AC57" s="8" t="s">
        <v>821</v>
      </c>
      <c r="AD57" s="7"/>
      <c r="AE57" s="7" t="s">
        <v>822</v>
      </c>
      <c r="AF57" s="7"/>
      <c r="AG57" s="7" t="s">
        <v>823</v>
      </c>
    </row>
    <row r="58" customFormat="false" ht="113.4" hidden="false" customHeight="false" outlineLevel="0" collapsed="false">
      <c r="A58" s="7" t="s">
        <v>1159</v>
      </c>
      <c r="B58" s="7" t="s">
        <v>116</v>
      </c>
      <c r="C58" s="7" t="s">
        <v>985</v>
      </c>
      <c r="D58" s="7" t="s">
        <v>98</v>
      </c>
      <c r="E58" s="7" t="s">
        <v>1160</v>
      </c>
      <c r="F58" s="7" t="s">
        <v>257</v>
      </c>
      <c r="G58" s="7" t="s">
        <v>81</v>
      </c>
      <c r="H58" s="7" t="s">
        <v>82</v>
      </c>
      <c r="I58" s="7" t="s">
        <v>866</v>
      </c>
      <c r="J58" s="7" t="s">
        <v>1161</v>
      </c>
      <c r="K58" s="7" t="s">
        <v>85</v>
      </c>
      <c r="L58" s="7" t="s">
        <v>105</v>
      </c>
      <c r="M58" s="7" t="s">
        <v>1162</v>
      </c>
      <c r="N58" s="7"/>
      <c r="O58" s="7" t="s">
        <v>1163</v>
      </c>
      <c r="P58" s="7" t="s">
        <v>1164</v>
      </c>
      <c r="Q58" s="7" t="s">
        <v>988</v>
      </c>
      <c r="R58" s="7" t="s">
        <v>1165</v>
      </c>
      <c r="S58" s="7"/>
      <c r="T58" s="7" t="s">
        <v>1014</v>
      </c>
      <c r="U58" s="7"/>
      <c r="V58" s="7"/>
      <c r="W58" s="7"/>
      <c r="X58" s="7"/>
      <c r="Y58" s="7" t="s">
        <v>1166</v>
      </c>
      <c r="Z58" s="7"/>
      <c r="AA58" s="7"/>
      <c r="AB58" s="7" t="s">
        <v>1167</v>
      </c>
      <c r="AC58" s="8" t="s">
        <v>1168</v>
      </c>
      <c r="AD58" s="7"/>
      <c r="AE58" s="7" t="s">
        <v>1169</v>
      </c>
      <c r="AF58" s="7"/>
      <c r="AG58" s="7" t="s">
        <v>1170</v>
      </c>
    </row>
    <row r="59" customFormat="false" ht="35.05" hidden="false" customHeight="false" outlineLevel="0" collapsed="false">
      <c r="A59" s="7" t="s">
        <v>1171</v>
      </c>
      <c r="B59" s="7" t="s">
        <v>116</v>
      </c>
      <c r="C59" s="7" t="s">
        <v>985</v>
      </c>
      <c r="D59" s="7" t="s">
        <v>98</v>
      </c>
      <c r="E59" s="7" t="s">
        <v>1172</v>
      </c>
      <c r="F59" s="7" t="s">
        <v>257</v>
      </c>
      <c r="G59" s="7" t="s">
        <v>81</v>
      </c>
      <c r="H59" s="7" t="s">
        <v>82</v>
      </c>
      <c r="I59" s="7" t="s">
        <v>866</v>
      </c>
      <c r="J59" s="7" t="s">
        <v>1173</v>
      </c>
      <c r="K59" s="7" t="s">
        <v>85</v>
      </c>
      <c r="L59" s="7" t="s">
        <v>105</v>
      </c>
      <c r="M59" s="7" t="s">
        <v>87</v>
      </c>
      <c r="N59" s="7" t="s">
        <v>1174</v>
      </c>
      <c r="O59" s="7"/>
      <c r="P59" s="7" t="s">
        <v>106</v>
      </c>
      <c r="Q59" s="7" t="s">
        <v>988</v>
      </c>
      <c r="R59" s="7" t="s">
        <v>1175</v>
      </c>
      <c r="S59" s="7" t="s">
        <v>1176</v>
      </c>
      <c r="T59" s="7" t="s">
        <v>109</v>
      </c>
      <c r="U59" s="7" t="s">
        <v>1177</v>
      </c>
      <c r="V59" s="8" t="s">
        <v>1178</v>
      </c>
      <c r="W59" s="7"/>
      <c r="X59" s="7"/>
      <c r="Y59" s="7"/>
      <c r="Z59" s="7"/>
      <c r="AA59" s="7"/>
      <c r="AB59" s="7"/>
      <c r="AC59" s="8" t="s">
        <v>1178</v>
      </c>
      <c r="AD59" s="7"/>
      <c r="AE59" s="7" t="s">
        <v>1179</v>
      </c>
      <c r="AF59" s="7"/>
      <c r="AG59" s="7" t="s">
        <v>1180</v>
      </c>
    </row>
    <row r="60" customFormat="false" ht="23.85" hidden="false" customHeight="false" outlineLevel="0" collapsed="false">
      <c r="A60" s="7" t="s">
        <v>1181</v>
      </c>
      <c r="B60" s="7" t="s">
        <v>116</v>
      </c>
      <c r="C60" s="7" t="s">
        <v>985</v>
      </c>
      <c r="D60" s="7" t="s">
        <v>98</v>
      </c>
      <c r="E60" s="7" t="s">
        <v>1182</v>
      </c>
      <c r="F60" s="7" t="s">
        <v>257</v>
      </c>
      <c r="G60" s="7" t="s">
        <v>81</v>
      </c>
      <c r="H60" s="7" t="s">
        <v>82</v>
      </c>
      <c r="I60" s="7" t="s">
        <v>866</v>
      </c>
      <c r="J60" s="7"/>
      <c r="K60" s="7" t="s">
        <v>85</v>
      </c>
      <c r="L60" s="7" t="s">
        <v>105</v>
      </c>
      <c r="M60" s="7" t="s">
        <v>87</v>
      </c>
      <c r="N60" s="7"/>
      <c r="O60" s="7"/>
      <c r="P60" s="7" t="s">
        <v>106</v>
      </c>
      <c r="Q60" s="7" t="s">
        <v>988</v>
      </c>
      <c r="R60" s="7" t="s">
        <v>1183</v>
      </c>
      <c r="S60" s="7"/>
      <c r="T60" s="7" t="s">
        <v>92</v>
      </c>
      <c r="U60" s="7"/>
      <c r="V60" s="7"/>
      <c r="W60" s="7"/>
      <c r="X60" s="7"/>
      <c r="Y60" s="7"/>
      <c r="Z60" s="7"/>
      <c r="AA60" s="7"/>
      <c r="AB60" s="7"/>
      <c r="AC60" s="8" t="s">
        <v>1168</v>
      </c>
      <c r="AD60" s="7"/>
      <c r="AE60" s="7"/>
      <c r="AF60" s="7"/>
      <c r="AG60" s="7" t="s">
        <v>96</v>
      </c>
    </row>
    <row r="61" customFormat="false" ht="102.2" hidden="false" customHeight="false" outlineLevel="0" collapsed="false">
      <c r="A61" s="7" t="s">
        <v>1184</v>
      </c>
      <c r="B61" s="7" t="s">
        <v>116</v>
      </c>
      <c r="C61" s="7" t="s">
        <v>985</v>
      </c>
      <c r="D61" s="7" t="s">
        <v>98</v>
      </c>
      <c r="E61" s="7" t="s">
        <v>1185</v>
      </c>
      <c r="F61" s="7" t="s">
        <v>100</v>
      </c>
      <c r="G61" s="7" t="s">
        <v>81</v>
      </c>
      <c r="H61" s="7" t="s">
        <v>82</v>
      </c>
      <c r="I61" s="7" t="s">
        <v>866</v>
      </c>
      <c r="J61" s="7" t="s">
        <v>1186</v>
      </c>
      <c r="K61" s="7" t="s">
        <v>1187</v>
      </c>
      <c r="L61" s="7" t="s">
        <v>1188</v>
      </c>
      <c r="M61" s="7" t="s">
        <v>1189</v>
      </c>
      <c r="N61" s="7" t="s">
        <v>1190</v>
      </c>
      <c r="O61" s="7"/>
      <c r="P61" s="7" t="s">
        <v>106</v>
      </c>
      <c r="Q61" s="7" t="s">
        <v>1191</v>
      </c>
      <c r="R61" s="7" t="s">
        <v>1192</v>
      </c>
      <c r="S61" s="7" t="s">
        <v>756</v>
      </c>
      <c r="T61" s="7" t="s">
        <v>92</v>
      </c>
      <c r="U61" s="7"/>
      <c r="V61" s="7"/>
      <c r="W61" s="7"/>
      <c r="X61" s="7"/>
      <c r="Y61" s="7"/>
      <c r="Z61" s="7"/>
      <c r="AA61" s="7"/>
      <c r="AB61" s="7"/>
      <c r="AC61" s="8" t="s">
        <v>1193</v>
      </c>
      <c r="AD61" s="7"/>
      <c r="AE61" s="7" t="s">
        <v>1194</v>
      </c>
      <c r="AF61" s="7"/>
      <c r="AG61" s="7" t="s">
        <v>1195</v>
      </c>
    </row>
    <row r="62" customFormat="false" ht="23.85" hidden="false" customHeight="false" outlineLevel="0" collapsed="false">
      <c r="A62" s="7" t="s">
        <v>1196</v>
      </c>
      <c r="B62" s="7" t="s">
        <v>116</v>
      </c>
      <c r="C62" s="7" t="s">
        <v>985</v>
      </c>
      <c r="D62" s="7" t="s">
        <v>78</v>
      </c>
      <c r="E62" s="7" t="s">
        <v>1197</v>
      </c>
      <c r="F62" s="7" t="s">
        <v>379</v>
      </c>
      <c r="G62" s="7" t="s">
        <v>81</v>
      </c>
      <c r="H62" s="7" t="s">
        <v>82</v>
      </c>
      <c r="I62" s="7" t="s">
        <v>866</v>
      </c>
      <c r="J62" s="7"/>
      <c r="K62" s="7" t="s">
        <v>85</v>
      </c>
      <c r="L62" s="7" t="s">
        <v>105</v>
      </c>
      <c r="M62" s="7" t="s">
        <v>87</v>
      </c>
      <c r="N62" s="7"/>
      <c r="O62" s="7"/>
      <c r="P62" s="7" t="s">
        <v>88</v>
      </c>
      <c r="Q62" s="7" t="s">
        <v>988</v>
      </c>
      <c r="R62" s="7" t="s">
        <v>1198</v>
      </c>
      <c r="S62" s="7"/>
      <c r="T62" s="7" t="s">
        <v>109</v>
      </c>
      <c r="U62" s="7" t="s">
        <v>1199</v>
      </c>
      <c r="V62" s="8" t="s">
        <v>1200</v>
      </c>
      <c r="W62" s="7"/>
      <c r="X62" s="7"/>
      <c r="Y62" s="7"/>
      <c r="Z62" s="7"/>
      <c r="AA62" s="7"/>
      <c r="AB62" s="7"/>
      <c r="AC62" s="8" t="s">
        <v>1200</v>
      </c>
      <c r="AD62" s="7"/>
      <c r="AE62" s="7"/>
      <c r="AF62" s="7"/>
      <c r="AG62" s="7"/>
    </row>
    <row r="63" customFormat="false" ht="46.25" hidden="false" customHeight="false" outlineLevel="0" collapsed="false">
      <c r="A63" s="7" t="s">
        <v>1201</v>
      </c>
      <c r="B63" s="7" t="s">
        <v>116</v>
      </c>
      <c r="C63" s="7" t="s">
        <v>985</v>
      </c>
      <c r="D63" s="7" t="s">
        <v>78</v>
      </c>
      <c r="E63" s="7" t="s">
        <v>1202</v>
      </c>
      <c r="F63" s="7" t="s">
        <v>80</v>
      </c>
      <c r="G63" s="7" t="s">
        <v>81</v>
      </c>
      <c r="H63" s="7" t="s">
        <v>82</v>
      </c>
      <c r="I63" s="7" t="s">
        <v>866</v>
      </c>
      <c r="J63" s="7" t="s">
        <v>1203</v>
      </c>
      <c r="K63" s="7" t="s">
        <v>85</v>
      </c>
      <c r="L63" s="7" t="s">
        <v>105</v>
      </c>
      <c r="M63" s="7" t="s">
        <v>87</v>
      </c>
      <c r="N63" s="7"/>
      <c r="O63" s="7"/>
      <c r="P63" s="7" t="s">
        <v>88</v>
      </c>
      <c r="Q63" s="7" t="s">
        <v>988</v>
      </c>
      <c r="R63" s="7" t="s">
        <v>1204</v>
      </c>
      <c r="S63" s="7"/>
      <c r="T63" s="7" t="s">
        <v>109</v>
      </c>
      <c r="U63" s="7" t="s">
        <v>1205</v>
      </c>
      <c r="V63" s="8" t="s">
        <v>1206</v>
      </c>
      <c r="W63" s="7"/>
      <c r="X63" s="7"/>
      <c r="Y63" s="7" t="s">
        <v>1207</v>
      </c>
      <c r="Z63" s="8" t="s">
        <v>1208</v>
      </c>
      <c r="AA63" s="7"/>
      <c r="AB63" s="7"/>
      <c r="AC63" s="8" t="s">
        <v>1206</v>
      </c>
      <c r="AD63" s="7" t="s">
        <v>1209</v>
      </c>
      <c r="AE63" s="7" t="s">
        <v>285</v>
      </c>
      <c r="AF63" s="7"/>
      <c r="AG63" s="7" t="s">
        <v>1210</v>
      </c>
    </row>
    <row r="64" customFormat="false" ht="46.25" hidden="false" customHeight="false" outlineLevel="0" collapsed="false">
      <c r="A64" s="7" t="s">
        <v>864</v>
      </c>
      <c r="B64" s="7" t="s">
        <v>811</v>
      </c>
      <c r="C64" s="7" t="s">
        <v>141</v>
      </c>
      <c r="D64" s="7" t="s">
        <v>98</v>
      </c>
      <c r="E64" s="7" t="s">
        <v>865</v>
      </c>
      <c r="F64" s="7" t="s">
        <v>100</v>
      </c>
      <c r="G64" s="7" t="s">
        <v>81</v>
      </c>
      <c r="H64" s="7" t="s">
        <v>82</v>
      </c>
      <c r="I64" s="7" t="s">
        <v>866</v>
      </c>
      <c r="J64" s="7"/>
      <c r="K64" s="7" t="s">
        <v>85</v>
      </c>
      <c r="L64" s="7" t="s">
        <v>105</v>
      </c>
      <c r="M64" s="7" t="s">
        <v>87</v>
      </c>
      <c r="N64" s="7"/>
      <c r="O64" s="7"/>
      <c r="P64" s="7" t="s">
        <v>106</v>
      </c>
      <c r="Q64" s="7" t="s">
        <v>144</v>
      </c>
      <c r="R64" s="7" t="s">
        <v>867</v>
      </c>
      <c r="S64" s="7" t="s">
        <v>868</v>
      </c>
      <c r="T64" s="7" t="s">
        <v>92</v>
      </c>
      <c r="U64" s="7"/>
      <c r="V64" s="7"/>
      <c r="W64" s="7"/>
      <c r="X64" s="7"/>
      <c r="Y64" s="7"/>
      <c r="Z64" s="7"/>
      <c r="AA64" s="7"/>
      <c r="AB64" s="7"/>
      <c r="AC64" s="8" t="s">
        <v>869</v>
      </c>
      <c r="AD64" s="7" t="s">
        <v>870</v>
      </c>
      <c r="AE64" s="7"/>
      <c r="AF64" s="7"/>
      <c r="AG64" s="7" t="s">
        <v>96</v>
      </c>
    </row>
    <row r="65" customFormat="false" ht="35.05" hidden="false" customHeight="false" outlineLevel="0" collapsed="false">
      <c r="A65" s="7" t="s">
        <v>1211</v>
      </c>
      <c r="B65" s="7" t="s">
        <v>76</v>
      </c>
      <c r="C65" s="7" t="s">
        <v>985</v>
      </c>
      <c r="D65" s="7" t="s">
        <v>78</v>
      </c>
      <c r="E65" s="7" t="s">
        <v>1212</v>
      </c>
      <c r="F65" s="7" t="s">
        <v>1213</v>
      </c>
      <c r="G65" s="7" t="s">
        <v>81</v>
      </c>
      <c r="H65" s="7" t="s">
        <v>82</v>
      </c>
      <c r="I65" s="7" t="s">
        <v>1214</v>
      </c>
      <c r="J65" s="7" t="s">
        <v>1215</v>
      </c>
      <c r="K65" s="7" t="s">
        <v>85</v>
      </c>
      <c r="L65" s="7" t="s">
        <v>1216</v>
      </c>
      <c r="M65" s="7" t="s">
        <v>1217</v>
      </c>
      <c r="N65" s="7" t="s">
        <v>354</v>
      </c>
      <c r="O65" s="7" t="s">
        <v>1218</v>
      </c>
      <c r="P65" s="7" t="s">
        <v>1219</v>
      </c>
      <c r="Q65" s="7" t="s">
        <v>1220</v>
      </c>
      <c r="R65" s="7" t="s">
        <v>1221</v>
      </c>
      <c r="S65" s="7" t="s">
        <v>1222</v>
      </c>
      <c r="T65" s="7" t="s">
        <v>109</v>
      </c>
      <c r="U65" s="7" t="s">
        <v>1223</v>
      </c>
      <c r="V65" s="8" t="s">
        <v>1224</v>
      </c>
      <c r="W65" s="7"/>
      <c r="X65" s="7"/>
      <c r="Y65" s="7"/>
      <c r="Z65" s="7"/>
      <c r="AA65" s="8" t="s">
        <v>1225</v>
      </c>
      <c r="AB65" s="7"/>
      <c r="AC65" s="8" t="s">
        <v>1224</v>
      </c>
      <c r="AD65" s="7"/>
      <c r="AE65" s="7"/>
      <c r="AF65" s="7"/>
      <c r="AG65" s="7" t="s">
        <v>1226</v>
      </c>
    </row>
    <row r="66" customFormat="false" ht="35.05" hidden="false" customHeight="false" outlineLevel="0" collapsed="false">
      <c r="A66" s="7" t="s">
        <v>1227</v>
      </c>
      <c r="B66" s="7" t="s">
        <v>811</v>
      </c>
      <c r="C66" s="7" t="s">
        <v>985</v>
      </c>
      <c r="D66" s="7" t="s">
        <v>98</v>
      </c>
      <c r="E66" s="7" t="s">
        <v>1228</v>
      </c>
      <c r="F66" s="7" t="s">
        <v>257</v>
      </c>
      <c r="G66" s="7" t="s">
        <v>81</v>
      </c>
      <c r="H66" s="7" t="s">
        <v>82</v>
      </c>
      <c r="I66" s="7" t="s">
        <v>1214</v>
      </c>
      <c r="J66" s="7" t="s">
        <v>1229</v>
      </c>
      <c r="K66" s="7" t="s">
        <v>85</v>
      </c>
      <c r="L66" s="7" t="s">
        <v>1230</v>
      </c>
      <c r="M66" s="7" t="s">
        <v>87</v>
      </c>
      <c r="N66" s="7" t="s">
        <v>1231</v>
      </c>
      <c r="O66" s="7"/>
      <c r="P66" s="7" t="s">
        <v>106</v>
      </c>
      <c r="Q66" s="7" t="s">
        <v>988</v>
      </c>
      <c r="R66" s="7" t="s">
        <v>1232</v>
      </c>
      <c r="S66" s="7" t="s">
        <v>756</v>
      </c>
      <c r="T66" s="7" t="s">
        <v>92</v>
      </c>
      <c r="U66" s="7"/>
      <c r="V66" s="7"/>
      <c r="W66" s="7"/>
      <c r="X66" s="7"/>
      <c r="Y66" s="7"/>
      <c r="Z66" s="7"/>
      <c r="AA66" s="8" t="s">
        <v>1233</v>
      </c>
      <c r="AB66" s="7" t="s">
        <v>1234</v>
      </c>
      <c r="AC66" s="8" t="s">
        <v>1233</v>
      </c>
      <c r="AD66" s="7"/>
      <c r="AE66" s="7"/>
      <c r="AF66" s="7"/>
      <c r="AG66" s="7" t="s">
        <v>1235</v>
      </c>
    </row>
    <row r="67" customFormat="false" ht="68.65" hidden="false" customHeight="false" outlineLevel="0" collapsed="false">
      <c r="A67" s="7" t="s">
        <v>1236</v>
      </c>
      <c r="B67" s="7" t="s">
        <v>116</v>
      </c>
      <c r="C67" s="7" t="s">
        <v>985</v>
      </c>
      <c r="D67" s="7" t="s">
        <v>98</v>
      </c>
      <c r="E67" s="7" t="s">
        <v>1237</v>
      </c>
      <c r="F67" s="7" t="s">
        <v>80</v>
      </c>
      <c r="G67" s="7" t="s">
        <v>81</v>
      </c>
      <c r="H67" s="7" t="s">
        <v>82</v>
      </c>
      <c r="I67" s="7" t="s">
        <v>1238</v>
      </c>
      <c r="J67" s="7" t="s">
        <v>1239</v>
      </c>
      <c r="K67" s="7" t="s">
        <v>85</v>
      </c>
      <c r="L67" s="7" t="s">
        <v>105</v>
      </c>
      <c r="M67" s="7" t="s">
        <v>87</v>
      </c>
      <c r="N67" s="7" t="s">
        <v>1240</v>
      </c>
      <c r="O67" s="7"/>
      <c r="P67" s="7" t="s">
        <v>106</v>
      </c>
      <c r="Q67" s="7" t="s">
        <v>988</v>
      </c>
      <c r="R67" s="7" t="s">
        <v>1241</v>
      </c>
      <c r="S67" s="7" t="s">
        <v>1242</v>
      </c>
      <c r="T67" s="7" t="s">
        <v>92</v>
      </c>
      <c r="U67" s="7"/>
      <c r="V67" s="7"/>
      <c r="W67" s="7"/>
      <c r="X67" s="7"/>
      <c r="Y67" s="7"/>
      <c r="Z67" s="7"/>
      <c r="AA67" s="7"/>
      <c r="AB67" s="7"/>
      <c r="AC67" s="8" t="s">
        <v>1243</v>
      </c>
      <c r="AD67" s="7"/>
      <c r="AE67" s="7" t="s">
        <v>1244</v>
      </c>
      <c r="AF67" s="7" t="s">
        <v>1245</v>
      </c>
      <c r="AG67" s="7" t="s">
        <v>1246</v>
      </c>
    </row>
    <row r="68" customFormat="false" ht="46.25" hidden="false" customHeight="false" outlineLevel="0" collapsed="false">
      <c r="A68" s="7" t="s">
        <v>1247</v>
      </c>
      <c r="B68" s="7" t="s">
        <v>116</v>
      </c>
      <c r="C68" s="7" t="s">
        <v>985</v>
      </c>
      <c r="D68" s="7" t="s">
        <v>78</v>
      </c>
      <c r="E68" s="7" t="s">
        <v>1248</v>
      </c>
      <c r="F68" s="7" t="s">
        <v>257</v>
      </c>
      <c r="G68" s="7" t="s">
        <v>81</v>
      </c>
      <c r="H68" s="7" t="s">
        <v>82</v>
      </c>
      <c r="I68" s="7" t="s">
        <v>1238</v>
      </c>
      <c r="J68" s="7" t="s">
        <v>1249</v>
      </c>
      <c r="K68" s="7" t="s">
        <v>85</v>
      </c>
      <c r="L68" s="7" t="s">
        <v>105</v>
      </c>
      <c r="M68" s="7" t="s">
        <v>87</v>
      </c>
      <c r="N68" s="7" t="s">
        <v>1250</v>
      </c>
      <c r="O68" s="7"/>
      <c r="P68" s="7" t="s">
        <v>88</v>
      </c>
      <c r="Q68" s="7" t="s">
        <v>988</v>
      </c>
      <c r="R68" s="7" t="s">
        <v>1251</v>
      </c>
      <c r="S68" s="7"/>
      <c r="T68" s="7" t="s">
        <v>109</v>
      </c>
      <c r="U68" s="7" t="s">
        <v>1252</v>
      </c>
      <c r="V68" s="8" t="s">
        <v>1253</v>
      </c>
      <c r="W68" s="7"/>
      <c r="X68" s="7"/>
      <c r="Y68" s="7"/>
      <c r="Z68" s="7"/>
      <c r="AA68" s="7"/>
      <c r="AB68" s="7"/>
      <c r="AC68" s="8" t="s">
        <v>1253</v>
      </c>
      <c r="AD68" s="7"/>
      <c r="AE68" s="7" t="s">
        <v>1254</v>
      </c>
      <c r="AF68" s="7"/>
      <c r="AG68" s="7" t="s">
        <v>1255</v>
      </c>
    </row>
    <row r="69" customFormat="false" ht="35.05" hidden="false" customHeight="false" outlineLevel="0" collapsed="false">
      <c r="A69" s="7" t="s">
        <v>255</v>
      </c>
      <c r="B69" s="7" t="s">
        <v>76</v>
      </c>
      <c r="C69" s="7" t="s">
        <v>141</v>
      </c>
      <c r="D69" s="7" t="s">
        <v>78</v>
      </c>
      <c r="E69" s="7" t="s">
        <v>256</v>
      </c>
      <c r="F69" s="7" t="s">
        <v>257</v>
      </c>
      <c r="G69" s="7" t="s">
        <v>81</v>
      </c>
      <c r="H69" s="7" t="s">
        <v>82</v>
      </c>
      <c r="I69" s="7" t="s">
        <v>83</v>
      </c>
      <c r="J69" s="7" t="s">
        <v>258</v>
      </c>
      <c r="K69" s="7" t="s">
        <v>85</v>
      </c>
      <c r="L69" s="7" t="s">
        <v>259</v>
      </c>
      <c r="M69" s="7" t="s">
        <v>260</v>
      </c>
      <c r="N69" s="7"/>
      <c r="O69" s="7" t="s">
        <v>261</v>
      </c>
      <c r="P69" s="7" t="s">
        <v>262</v>
      </c>
      <c r="Q69" s="7" t="s">
        <v>263</v>
      </c>
      <c r="R69" s="7" t="s">
        <v>264</v>
      </c>
      <c r="S69" s="7" t="s">
        <v>265</v>
      </c>
      <c r="T69" s="7" t="s">
        <v>109</v>
      </c>
      <c r="U69" s="7" t="s">
        <v>266</v>
      </c>
      <c r="V69" s="8" t="s">
        <v>267</v>
      </c>
      <c r="W69" s="7"/>
      <c r="X69" s="7"/>
      <c r="Y69" s="7"/>
      <c r="Z69" s="7"/>
      <c r="AA69" s="7"/>
      <c r="AB69" s="7" t="s">
        <v>268</v>
      </c>
      <c r="AC69" s="8" t="s">
        <v>269</v>
      </c>
      <c r="AD69" s="7"/>
      <c r="AE69" s="7"/>
      <c r="AF69" s="7"/>
      <c r="AG69" s="7" t="s">
        <v>270</v>
      </c>
    </row>
    <row r="70" customFormat="false" ht="102.2" hidden="false" customHeight="false" outlineLevel="0" collapsed="false">
      <c r="A70" s="7" t="s">
        <v>271</v>
      </c>
      <c r="B70" s="7" t="s">
        <v>76</v>
      </c>
      <c r="C70" s="7" t="s">
        <v>141</v>
      </c>
      <c r="D70" s="7" t="s">
        <v>78</v>
      </c>
      <c r="E70" s="7" t="s">
        <v>272</v>
      </c>
      <c r="F70" s="7" t="s">
        <v>80</v>
      </c>
      <c r="G70" s="7" t="s">
        <v>81</v>
      </c>
      <c r="H70" s="7" t="s">
        <v>82</v>
      </c>
      <c r="I70" s="7" t="s">
        <v>83</v>
      </c>
      <c r="J70" s="7" t="s">
        <v>273</v>
      </c>
      <c r="K70" s="7" t="s">
        <v>85</v>
      </c>
      <c r="L70" s="7" t="s">
        <v>274</v>
      </c>
      <c r="M70" s="7" t="s">
        <v>87</v>
      </c>
      <c r="N70" s="7" t="s">
        <v>275</v>
      </c>
      <c r="O70" s="7" t="s">
        <v>276</v>
      </c>
      <c r="P70" s="7" t="s">
        <v>277</v>
      </c>
      <c r="Q70" s="7" t="s">
        <v>278</v>
      </c>
      <c r="R70" s="7" t="s">
        <v>279</v>
      </c>
      <c r="S70" s="7" t="s">
        <v>280</v>
      </c>
      <c r="T70" s="7" t="s">
        <v>109</v>
      </c>
      <c r="U70" s="7" t="s">
        <v>281</v>
      </c>
      <c r="V70" s="8" t="s">
        <v>282</v>
      </c>
      <c r="W70" s="7"/>
      <c r="X70" s="7"/>
      <c r="Y70" s="7"/>
      <c r="Z70" s="7"/>
      <c r="AA70" s="7"/>
      <c r="AB70" s="7" t="s">
        <v>283</v>
      </c>
      <c r="AC70" s="8" t="s">
        <v>284</v>
      </c>
      <c r="AD70" s="7"/>
      <c r="AE70" s="7" t="s">
        <v>285</v>
      </c>
      <c r="AF70" s="7"/>
      <c r="AG70" s="7" t="s">
        <v>286</v>
      </c>
    </row>
    <row r="71" customFormat="false" ht="102.2" hidden="false" customHeight="false" outlineLevel="0" collapsed="false">
      <c r="A71" s="7" t="s">
        <v>1256</v>
      </c>
      <c r="B71" s="7" t="s">
        <v>76</v>
      </c>
      <c r="C71" s="7" t="s">
        <v>985</v>
      </c>
      <c r="D71" s="7" t="s">
        <v>78</v>
      </c>
      <c r="E71" s="7" t="s">
        <v>1257</v>
      </c>
      <c r="F71" s="7" t="s">
        <v>1213</v>
      </c>
      <c r="G71" s="7" t="s">
        <v>81</v>
      </c>
      <c r="H71" s="7" t="s">
        <v>82</v>
      </c>
      <c r="I71" s="7" t="s">
        <v>83</v>
      </c>
      <c r="J71" s="7" t="s">
        <v>1258</v>
      </c>
      <c r="K71" s="7" t="s">
        <v>85</v>
      </c>
      <c r="L71" s="7" t="s">
        <v>1259</v>
      </c>
      <c r="M71" s="7" t="s">
        <v>1260</v>
      </c>
      <c r="N71" s="7" t="s">
        <v>1261</v>
      </c>
      <c r="O71" s="7"/>
      <c r="P71" s="7" t="s">
        <v>1262</v>
      </c>
      <c r="Q71" s="7" t="s">
        <v>1263</v>
      </c>
      <c r="R71" s="7" t="s">
        <v>1264</v>
      </c>
      <c r="S71" s="7" t="s">
        <v>1265</v>
      </c>
      <c r="T71" s="7" t="s">
        <v>109</v>
      </c>
      <c r="U71" s="7" t="s">
        <v>1266</v>
      </c>
      <c r="V71" s="8" t="s">
        <v>1267</v>
      </c>
      <c r="W71" s="7"/>
      <c r="X71" s="7"/>
      <c r="Y71" s="7" t="s">
        <v>1268</v>
      </c>
      <c r="Z71" s="7"/>
      <c r="AA71" s="7"/>
      <c r="AB71" s="7"/>
      <c r="AC71" s="8" t="s">
        <v>1269</v>
      </c>
      <c r="AD71" s="7" t="s">
        <v>1270</v>
      </c>
      <c r="AE71" s="7" t="s">
        <v>1271</v>
      </c>
      <c r="AF71" s="7"/>
      <c r="AG71" s="7" t="s">
        <v>1272</v>
      </c>
    </row>
    <row r="72" customFormat="false" ht="35.05" hidden="false" customHeight="false" outlineLevel="0" collapsed="false">
      <c r="A72" s="7" t="s">
        <v>75</v>
      </c>
      <c r="B72" s="7" t="s">
        <v>76</v>
      </c>
      <c r="C72" s="7" t="s">
        <v>77</v>
      </c>
      <c r="D72" s="7" t="s">
        <v>78</v>
      </c>
      <c r="E72" s="7" t="s">
        <v>79</v>
      </c>
      <c r="F72" s="7" t="s">
        <v>80</v>
      </c>
      <c r="G72" s="7" t="s">
        <v>81</v>
      </c>
      <c r="H72" s="7" t="s">
        <v>82</v>
      </c>
      <c r="I72" s="7" t="s">
        <v>83</v>
      </c>
      <c r="J72" s="7" t="s">
        <v>84</v>
      </c>
      <c r="K72" s="7" t="s">
        <v>85</v>
      </c>
      <c r="L72" s="7" t="s">
        <v>86</v>
      </c>
      <c r="M72" s="7" t="s">
        <v>87</v>
      </c>
      <c r="N72" s="7"/>
      <c r="O72" s="7"/>
      <c r="P72" s="7" t="s">
        <v>88</v>
      </c>
      <c r="Q72" s="7" t="s">
        <v>89</v>
      </c>
      <c r="R72" s="7" t="s">
        <v>90</v>
      </c>
      <c r="S72" s="7" t="s">
        <v>91</v>
      </c>
      <c r="T72" s="7" t="s">
        <v>92</v>
      </c>
      <c r="U72" s="7"/>
      <c r="V72" s="7"/>
      <c r="W72" s="7"/>
      <c r="X72" s="7"/>
      <c r="Y72" s="7"/>
      <c r="Z72" s="7"/>
      <c r="AA72" s="8" t="s">
        <v>93</v>
      </c>
      <c r="AB72" s="7"/>
      <c r="AC72" s="7" t="s">
        <v>94</v>
      </c>
      <c r="AD72" s="7" t="s">
        <v>95</v>
      </c>
      <c r="AE72" s="7"/>
      <c r="AF72" s="7"/>
      <c r="AG72" s="7" t="s">
        <v>96</v>
      </c>
    </row>
    <row r="73" customFormat="false" ht="68.65" hidden="false" customHeight="false" outlineLevel="0" collapsed="false">
      <c r="A73" s="7" t="s">
        <v>1273</v>
      </c>
      <c r="B73" s="7" t="s">
        <v>116</v>
      </c>
      <c r="C73" s="7" t="s">
        <v>985</v>
      </c>
      <c r="D73" s="7" t="s">
        <v>98</v>
      </c>
      <c r="E73" s="7" t="s">
        <v>1274</v>
      </c>
      <c r="F73" s="7" t="s">
        <v>100</v>
      </c>
      <c r="G73" s="7" t="s">
        <v>81</v>
      </c>
      <c r="H73" s="7" t="s">
        <v>82</v>
      </c>
      <c r="I73" s="7" t="s">
        <v>83</v>
      </c>
      <c r="J73" s="7" t="s">
        <v>1275</v>
      </c>
      <c r="K73" s="7" t="s">
        <v>85</v>
      </c>
      <c r="L73" s="7" t="s">
        <v>105</v>
      </c>
      <c r="M73" s="7" t="s">
        <v>87</v>
      </c>
      <c r="N73" s="7"/>
      <c r="O73" s="7"/>
      <c r="P73" s="7" t="s">
        <v>106</v>
      </c>
      <c r="Q73" s="7" t="s">
        <v>1276</v>
      </c>
      <c r="R73" s="7" t="s">
        <v>1277</v>
      </c>
      <c r="S73" s="7"/>
      <c r="T73" s="7" t="s">
        <v>109</v>
      </c>
      <c r="U73" s="7" t="s">
        <v>1278</v>
      </c>
      <c r="V73" s="8" t="s">
        <v>1279</v>
      </c>
      <c r="W73" s="7"/>
      <c r="X73" s="7"/>
      <c r="Y73" s="7"/>
      <c r="Z73" s="7"/>
      <c r="AA73" s="7"/>
      <c r="AB73" s="7" t="s">
        <v>1280</v>
      </c>
      <c r="AC73" s="8" t="s">
        <v>1279</v>
      </c>
      <c r="AD73" s="7"/>
      <c r="AE73" s="7" t="s">
        <v>1281</v>
      </c>
      <c r="AF73" s="7"/>
      <c r="AG73" s="7" t="s">
        <v>1282</v>
      </c>
    </row>
    <row r="74" customFormat="false" ht="35.05" hidden="false" customHeight="false" outlineLevel="0" collapsed="false">
      <c r="A74" s="7" t="s">
        <v>131</v>
      </c>
      <c r="B74" s="7" t="s">
        <v>116</v>
      </c>
      <c r="C74" s="7" t="s">
        <v>77</v>
      </c>
      <c r="D74" s="7" t="s">
        <v>98</v>
      </c>
      <c r="E74" s="7" t="s">
        <v>132</v>
      </c>
      <c r="F74" s="7" t="s">
        <v>80</v>
      </c>
      <c r="G74" s="7" t="s">
        <v>81</v>
      </c>
      <c r="H74" s="7" t="s">
        <v>82</v>
      </c>
      <c r="I74" s="7" t="s">
        <v>83</v>
      </c>
      <c r="J74" s="7" t="s">
        <v>133</v>
      </c>
      <c r="K74" s="7" t="s">
        <v>85</v>
      </c>
      <c r="L74" s="7" t="s">
        <v>105</v>
      </c>
      <c r="M74" s="7" t="s">
        <v>87</v>
      </c>
      <c r="N74" s="7"/>
      <c r="O74" s="7"/>
      <c r="P74" s="7" t="s">
        <v>106</v>
      </c>
      <c r="Q74" s="7" t="s">
        <v>89</v>
      </c>
      <c r="R74" s="7" t="s">
        <v>134</v>
      </c>
      <c r="S74" s="7" t="s">
        <v>135</v>
      </c>
      <c r="T74" s="7" t="s">
        <v>109</v>
      </c>
      <c r="U74" s="7" t="s">
        <v>136</v>
      </c>
      <c r="V74" s="8" t="s">
        <v>137</v>
      </c>
      <c r="W74" s="7"/>
      <c r="X74" s="7"/>
      <c r="Y74" s="7"/>
      <c r="Z74" s="7"/>
      <c r="AA74" s="7"/>
      <c r="AB74" s="7"/>
      <c r="AC74" s="8" t="s">
        <v>137</v>
      </c>
      <c r="AD74" s="7" t="s">
        <v>138</v>
      </c>
      <c r="AE74" s="7"/>
      <c r="AF74" s="7"/>
      <c r="AG74" s="7" t="s">
        <v>139</v>
      </c>
    </row>
    <row r="75" customFormat="false" ht="23.85" hidden="false" customHeight="false" outlineLevel="0" collapsed="false">
      <c r="A75" s="7" t="s">
        <v>1283</v>
      </c>
      <c r="B75" s="7" t="s">
        <v>116</v>
      </c>
      <c r="C75" s="7" t="s">
        <v>985</v>
      </c>
      <c r="D75" s="7" t="s">
        <v>98</v>
      </c>
      <c r="E75" s="7" t="s">
        <v>1284</v>
      </c>
      <c r="F75" s="7" t="s">
        <v>80</v>
      </c>
      <c r="G75" s="7" t="s">
        <v>81</v>
      </c>
      <c r="H75" s="7" t="s">
        <v>82</v>
      </c>
      <c r="I75" s="7" t="s">
        <v>83</v>
      </c>
      <c r="J75" s="7"/>
      <c r="K75" s="7" t="s">
        <v>85</v>
      </c>
      <c r="L75" s="7" t="s">
        <v>105</v>
      </c>
      <c r="M75" s="7" t="s">
        <v>87</v>
      </c>
      <c r="N75" s="7"/>
      <c r="O75" s="7"/>
      <c r="P75" s="7" t="s">
        <v>106</v>
      </c>
      <c r="Q75" s="7" t="s">
        <v>988</v>
      </c>
      <c r="R75" s="7" t="s">
        <v>1285</v>
      </c>
      <c r="S75" s="7" t="s">
        <v>1286</v>
      </c>
      <c r="T75" s="7" t="s">
        <v>92</v>
      </c>
      <c r="U75" s="7"/>
      <c r="V75" s="7"/>
      <c r="W75" s="7"/>
      <c r="X75" s="7"/>
      <c r="Y75" s="7"/>
      <c r="Z75" s="7"/>
      <c r="AA75" s="7"/>
      <c r="AB75" s="7"/>
      <c r="AC75" s="8" t="s">
        <v>1287</v>
      </c>
      <c r="AD75" s="7"/>
      <c r="AE75" s="7"/>
      <c r="AF75" s="7"/>
      <c r="AG75" s="7" t="s">
        <v>96</v>
      </c>
    </row>
    <row r="76" customFormat="false" ht="35.05" hidden="false" customHeight="false" outlineLevel="0" collapsed="false">
      <c r="A76" s="7" t="s">
        <v>1288</v>
      </c>
      <c r="B76" s="7" t="s">
        <v>116</v>
      </c>
      <c r="C76" s="7" t="s">
        <v>985</v>
      </c>
      <c r="D76" s="7" t="s">
        <v>98</v>
      </c>
      <c r="E76" s="7" t="s">
        <v>1289</v>
      </c>
      <c r="F76" s="7" t="s">
        <v>257</v>
      </c>
      <c r="G76" s="7" t="s">
        <v>81</v>
      </c>
      <c r="H76" s="7" t="s">
        <v>82</v>
      </c>
      <c r="I76" s="7" t="s">
        <v>83</v>
      </c>
      <c r="J76" s="7" t="s">
        <v>1290</v>
      </c>
      <c r="K76" s="7" t="s">
        <v>85</v>
      </c>
      <c r="L76" s="7" t="s">
        <v>105</v>
      </c>
      <c r="M76" s="7" t="s">
        <v>87</v>
      </c>
      <c r="N76" s="7"/>
      <c r="O76" s="7"/>
      <c r="P76" s="7" t="s">
        <v>106</v>
      </c>
      <c r="Q76" s="7" t="s">
        <v>988</v>
      </c>
      <c r="R76" s="7" t="s">
        <v>1291</v>
      </c>
      <c r="S76" s="7" t="s">
        <v>1292</v>
      </c>
      <c r="T76" s="7" t="s">
        <v>92</v>
      </c>
      <c r="U76" s="7"/>
      <c r="V76" s="7"/>
      <c r="W76" s="7"/>
      <c r="X76" s="7"/>
      <c r="Y76" s="7"/>
      <c r="Z76" s="7"/>
      <c r="AA76" s="7"/>
      <c r="AB76" s="7"/>
      <c r="AC76" s="8" t="s">
        <v>1293</v>
      </c>
      <c r="AD76" s="7" t="s">
        <v>177</v>
      </c>
      <c r="AE76" s="7"/>
      <c r="AF76" s="7"/>
      <c r="AG76" s="7" t="s">
        <v>96</v>
      </c>
    </row>
    <row r="77" customFormat="false" ht="35.05" hidden="false" customHeight="false" outlineLevel="0" collapsed="false">
      <c r="A77" s="7" t="s">
        <v>1294</v>
      </c>
      <c r="B77" s="7" t="s">
        <v>116</v>
      </c>
      <c r="C77" s="7" t="s">
        <v>985</v>
      </c>
      <c r="D77" s="7" t="s">
        <v>78</v>
      </c>
      <c r="E77" s="7" t="s">
        <v>1295</v>
      </c>
      <c r="F77" s="7" t="s">
        <v>80</v>
      </c>
      <c r="G77" s="7" t="s">
        <v>81</v>
      </c>
      <c r="H77" s="7" t="s">
        <v>82</v>
      </c>
      <c r="I77" s="7" t="s">
        <v>83</v>
      </c>
      <c r="J77" s="7" t="s">
        <v>1296</v>
      </c>
      <c r="K77" s="7" t="s">
        <v>85</v>
      </c>
      <c r="L77" s="7" t="s">
        <v>105</v>
      </c>
      <c r="M77" s="7" t="s">
        <v>87</v>
      </c>
      <c r="N77" s="7"/>
      <c r="O77" s="7"/>
      <c r="P77" s="7" t="s">
        <v>88</v>
      </c>
      <c r="Q77" s="7" t="s">
        <v>988</v>
      </c>
      <c r="R77" s="7" t="s">
        <v>1297</v>
      </c>
      <c r="S77" s="7" t="s">
        <v>1298</v>
      </c>
      <c r="T77" s="7" t="s">
        <v>109</v>
      </c>
      <c r="U77" s="7" t="s">
        <v>1299</v>
      </c>
      <c r="V77" s="8" t="s">
        <v>1300</v>
      </c>
      <c r="W77" s="7"/>
      <c r="X77" s="7"/>
      <c r="Y77" s="7"/>
      <c r="Z77" s="7"/>
      <c r="AA77" s="7"/>
      <c r="AB77" s="7"/>
      <c r="AC77" s="8" t="s">
        <v>1301</v>
      </c>
      <c r="AD77" s="7"/>
      <c r="AE77" s="7" t="s">
        <v>1302</v>
      </c>
      <c r="AF77" s="7"/>
      <c r="AG77" s="7" t="s">
        <v>1303</v>
      </c>
    </row>
    <row r="78" customFormat="false" ht="79.85" hidden="false" customHeight="false" outlineLevel="0" collapsed="false">
      <c r="A78" s="7" t="s">
        <v>1304</v>
      </c>
      <c r="B78" s="7" t="s">
        <v>116</v>
      </c>
      <c r="C78" s="7" t="s">
        <v>985</v>
      </c>
      <c r="D78" s="7" t="s">
        <v>78</v>
      </c>
      <c r="E78" s="7" t="s">
        <v>1305</v>
      </c>
      <c r="F78" s="7" t="s">
        <v>80</v>
      </c>
      <c r="G78" s="7" t="s">
        <v>81</v>
      </c>
      <c r="H78" s="7" t="s">
        <v>82</v>
      </c>
      <c r="I78" s="7" t="s">
        <v>83</v>
      </c>
      <c r="J78" s="7" t="s">
        <v>1306</v>
      </c>
      <c r="K78" s="7" t="s">
        <v>85</v>
      </c>
      <c r="L78" s="7" t="s">
        <v>1307</v>
      </c>
      <c r="M78" s="7" t="s">
        <v>87</v>
      </c>
      <c r="N78" s="7" t="s">
        <v>1308</v>
      </c>
      <c r="O78" s="7"/>
      <c r="P78" s="7" t="s">
        <v>88</v>
      </c>
      <c r="Q78" s="7" t="s">
        <v>988</v>
      </c>
      <c r="R78" s="7" t="s">
        <v>1309</v>
      </c>
      <c r="S78" s="7" t="s">
        <v>1310</v>
      </c>
      <c r="T78" s="7" t="s">
        <v>109</v>
      </c>
      <c r="U78" s="7" t="s">
        <v>1311</v>
      </c>
      <c r="V78" s="8" t="s">
        <v>1312</v>
      </c>
      <c r="W78" s="7"/>
      <c r="X78" s="7"/>
      <c r="Y78" s="7"/>
      <c r="Z78" s="7"/>
      <c r="AA78" s="7"/>
      <c r="AB78" s="7"/>
      <c r="AC78" s="8" t="s">
        <v>1301</v>
      </c>
      <c r="AD78" s="7"/>
      <c r="AE78" s="7" t="s">
        <v>1313</v>
      </c>
      <c r="AF78" s="7" t="s">
        <v>1314</v>
      </c>
      <c r="AG78" s="7" t="s">
        <v>1315</v>
      </c>
    </row>
    <row r="79" customFormat="false" ht="46.25" hidden="false" customHeight="false" outlineLevel="0" collapsed="false">
      <c r="A79" s="7" t="s">
        <v>1316</v>
      </c>
      <c r="B79" s="7" t="s">
        <v>116</v>
      </c>
      <c r="C79" s="7" t="s">
        <v>985</v>
      </c>
      <c r="D79" s="7" t="s">
        <v>78</v>
      </c>
      <c r="E79" s="7" t="s">
        <v>1317</v>
      </c>
      <c r="F79" s="7" t="s">
        <v>80</v>
      </c>
      <c r="G79" s="7" t="s">
        <v>81</v>
      </c>
      <c r="H79" s="7" t="s">
        <v>82</v>
      </c>
      <c r="I79" s="7" t="s">
        <v>83</v>
      </c>
      <c r="J79" s="7" t="s">
        <v>1318</v>
      </c>
      <c r="K79" s="7" t="s">
        <v>85</v>
      </c>
      <c r="L79" s="7" t="s">
        <v>1319</v>
      </c>
      <c r="M79" s="7" t="s">
        <v>87</v>
      </c>
      <c r="N79" s="7" t="s">
        <v>490</v>
      </c>
      <c r="O79" s="7"/>
      <c r="P79" s="7" t="s">
        <v>88</v>
      </c>
      <c r="Q79" s="7" t="s">
        <v>1320</v>
      </c>
      <c r="R79" s="7" t="s">
        <v>1321</v>
      </c>
      <c r="S79" s="7"/>
      <c r="T79" s="7" t="s">
        <v>109</v>
      </c>
      <c r="U79" s="7" t="s">
        <v>1322</v>
      </c>
      <c r="V79" s="8" t="s">
        <v>1323</v>
      </c>
      <c r="W79" s="7"/>
      <c r="X79" s="7"/>
      <c r="Y79" s="7"/>
      <c r="Z79" s="7"/>
      <c r="AA79" s="7"/>
      <c r="AB79" s="7"/>
      <c r="AC79" s="8" t="s">
        <v>1323</v>
      </c>
      <c r="AD79" s="7"/>
      <c r="AE79" s="7" t="s">
        <v>1324</v>
      </c>
      <c r="AF79" s="7"/>
      <c r="AG79" s="7" t="s">
        <v>1325</v>
      </c>
    </row>
    <row r="80" customFormat="false" ht="46.25" hidden="false" customHeight="false" outlineLevel="0" collapsed="false">
      <c r="A80" s="7" t="s">
        <v>1326</v>
      </c>
      <c r="B80" s="7" t="s">
        <v>116</v>
      </c>
      <c r="C80" s="7" t="s">
        <v>985</v>
      </c>
      <c r="D80" s="7" t="s">
        <v>78</v>
      </c>
      <c r="E80" s="7" t="s">
        <v>1327</v>
      </c>
      <c r="F80" s="7" t="s">
        <v>80</v>
      </c>
      <c r="G80" s="7" t="s">
        <v>81</v>
      </c>
      <c r="H80" s="7" t="s">
        <v>82</v>
      </c>
      <c r="I80" s="7" t="s">
        <v>83</v>
      </c>
      <c r="J80" s="7" t="s">
        <v>1328</v>
      </c>
      <c r="K80" s="7" t="s">
        <v>85</v>
      </c>
      <c r="L80" s="7" t="s">
        <v>1329</v>
      </c>
      <c r="M80" s="7" t="s">
        <v>87</v>
      </c>
      <c r="N80" s="7" t="s">
        <v>1330</v>
      </c>
      <c r="O80" s="7"/>
      <c r="P80" s="7" t="s">
        <v>88</v>
      </c>
      <c r="Q80" s="7" t="s">
        <v>988</v>
      </c>
      <c r="R80" s="7" t="s">
        <v>1331</v>
      </c>
      <c r="S80" s="7" t="s">
        <v>1332</v>
      </c>
      <c r="T80" s="7" t="s">
        <v>109</v>
      </c>
      <c r="U80" s="7" t="s">
        <v>1333</v>
      </c>
      <c r="V80" s="8" t="s">
        <v>1334</v>
      </c>
      <c r="W80" s="7"/>
      <c r="X80" s="7"/>
      <c r="Y80" s="7"/>
      <c r="Z80" s="7"/>
      <c r="AA80" s="7"/>
      <c r="AB80" s="7"/>
      <c r="AC80" s="8" t="s">
        <v>1335</v>
      </c>
      <c r="AD80" s="7"/>
      <c r="AE80" s="7" t="s">
        <v>1336</v>
      </c>
      <c r="AF80" s="7"/>
      <c r="AG80" s="7" t="s">
        <v>1337</v>
      </c>
    </row>
    <row r="81" customFormat="false" ht="35.05" hidden="false" customHeight="false" outlineLevel="0" collapsed="false">
      <c r="A81" s="7" t="s">
        <v>1338</v>
      </c>
      <c r="B81" s="7" t="s">
        <v>811</v>
      </c>
      <c r="C81" s="7" t="s">
        <v>985</v>
      </c>
      <c r="D81" s="7" t="s">
        <v>98</v>
      </c>
      <c r="E81" s="7" t="s">
        <v>1339</v>
      </c>
      <c r="F81" s="7" t="s">
        <v>257</v>
      </c>
      <c r="G81" s="7" t="s">
        <v>81</v>
      </c>
      <c r="H81" s="7" t="s">
        <v>82</v>
      </c>
      <c r="I81" s="7" t="s">
        <v>83</v>
      </c>
      <c r="J81" s="7" t="s">
        <v>1340</v>
      </c>
      <c r="K81" s="7" t="s">
        <v>85</v>
      </c>
      <c r="L81" s="7" t="s">
        <v>1341</v>
      </c>
      <c r="M81" s="7" t="s">
        <v>87</v>
      </c>
      <c r="N81" s="7" t="s">
        <v>1342</v>
      </c>
      <c r="O81" s="7"/>
      <c r="P81" s="7" t="s">
        <v>106</v>
      </c>
      <c r="Q81" s="7" t="s">
        <v>988</v>
      </c>
      <c r="R81" s="7" t="s">
        <v>1343</v>
      </c>
      <c r="S81" s="7" t="s">
        <v>756</v>
      </c>
      <c r="T81" s="7" t="s">
        <v>109</v>
      </c>
      <c r="U81" s="7" t="s">
        <v>1344</v>
      </c>
      <c r="V81" s="8" t="s">
        <v>1345</v>
      </c>
      <c r="W81" s="7"/>
      <c r="X81" s="7"/>
      <c r="Y81" s="7"/>
      <c r="Z81" s="7"/>
      <c r="AA81" s="7"/>
      <c r="AB81" s="7"/>
      <c r="AC81" s="8" t="s">
        <v>1345</v>
      </c>
      <c r="AD81" s="7"/>
      <c r="AE81" s="7" t="s">
        <v>285</v>
      </c>
      <c r="AF81" s="7"/>
      <c r="AG81" s="7" t="s">
        <v>1346</v>
      </c>
    </row>
    <row r="82" customFormat="false" ht="35.05" hidden="false" customHeight="false" outlineLevel="0" collapsed="false">
      <c r="A82" s="7" t="s">
        <v>871</v>
      </c>
      <c r="B82" s="7" t="s">
        <v>811</v>
      </c>
      <c r="C82" s="7" t="s">
        <v>141</v>
      </c>
      <c r="D82" s="7" t="s">
        <v>98</v>
      </c>
      <c r="E82" s="7" t="s">
        <v>872</v>
      </c>
      <c r="F82" s="7" t="s">
        <v>379</v>
      </c>
      <c r="G82" s="7" t="s">
        <v>81</v>
      </c>
      <c r="H82" s="7" t="s">
        <v>82</v>
      </c>
      <c r="I82" s="7" t="s">
        <v>83</v>
      </c>
      <c r="J82" s="7" t="s">
        <v>873</v>
      </c>
      <c r="K82" s="7" t="s">
        <v>85</v>
      </c>
      <c r="L82" s="7" t="s">
        <v>874</v>
      </c>
      <c r="M82" s="7" t="s">
        <v>87</v>
      </c>
      <c r="N82" s="7" t="s">
        <v>490</v>
      </c>
      <c r="O82" s="7"/>
      <c r="P82" s="7" t="s">
        <v>106</v>
      </c>
      <c r="Q82" s="7" t="s">
        <v>144</v>
      </c>
      <c r="R82" s="7" t="s">
        <v>875</v>
      </c>
      <c r="S82" s="7"/>
      <c r="T82" s="7" t="s">
        <v>92</v>
      </c>
      <c r="U82" s="7"/>
      <c r="V82" s="7"/>
      <c r="W82" s="7"/>
      <c r="X82" s="7"/>
      <c r="Y82" s="7"/>
      <c r="Z82" s="7"/>
      <c r="AA82" s="7"/>
      <c r="AB82" s="7"/>
      <c r="AC82" s="8" t="s">
        <v>876</v>
      </c>
      <c r="AD82" s="7"/>
      <c r="AE82" s="7"/>
      <c r="AF82" s="7"/>
      <c r="AG82" s="7" t="s">
        <v>877</v>
      </c>
    </row>
    <row r="83" customFormat="false" ht="35.05" hidden="false" customHeight="false" outlineLevel="0" collapsed="false">
      <c r="A83" s="7" t="s">
        <v>1347</v>
      </c>
      <c r="B83" s="7" t="s">
        <v>811</v>
      </c>
      <c r="C83" s="7" t="s">
        <v>985</v>
      </c>
      <c r="D83" s="7" t="s">
        <v>98</v>
      </c>
      <c r="E83" s="7" t="s">
        <v>1348</v>
      </c>
      <c r="F83" s="7" t="s">
        <v>100</v>
      </c>
      <c r="G83" s="7" t="s">
        <v>81</v>
      </c>
      <c r="H83" s="7" t="s">
        <v>82</v>
      </c>
      <c r="I83" s="7" t="s">
        <v>83</v>
      </c>
      <c r="J83" s="7" t="s">
        <v>1349</v>
      </c>
      <c r="K83" s="7" t="s">
        <v>85</v>
      </c>
      <c r="L83" s="7" t="s">
        <v>1350</v>
      </c>
      <c r="M83" s="7" t="s">
        <v>87</v>
      </c>
      <c r="N83" s="7"/>
      <c r="O83" s="7"/>
      <c r="P83" s="7" t="s">
        <v>1351</v>
      </c>
      <c r="Q83" s="7" t="s">
        <v>1276</v>
      </c>
      <c r="R83" s="7" t="s">
        <v>1352</v>
      </c>
      <c r="S83" s="7"/>
      <c r="T83" s="7" t="s">
        <v>109</v>
      </c>
      <c r="U83" s="7" t="s">
        <v>1353</v>
      </c>
      <c r="V83" s="8" t="s">
        <v>1354</v>
      </c>
      <c r="W83" s="7"/>
      <c r="X83" s="7"/>
      <c r="Y83" s="7"/>
      <c r="Z83" s="7"/>
      <c r="AA83" s="7"/>
      <c r="AB83" s="7"/>
      <c r="AC83" s="8" t="s">
        <v>1354</v>
      </c>
      <c r="AD83" s="7"/>
      <c r="AE83" s="7"/>
      <c r="AF83" s="7"/>
      <c r="AG83" s="7" t="s">
        <v>1355</v>
      </c>
    </row>
    <row r="84" customFormat="false" ht="35.05" hidden="false" customHeight="false" outlineLevel="0" collapsed="false">
      <c r="A84" s="7" t="s">
        <v>878</v>
      </c>
      <c r="B84" s="7" t="s">
        <v>811</v>
      </c>
      <c r="C84" s="7" t="s">
        <v>141</v>
      </c>
      <c r="D84" s="7" t="s">
        <v>98</v>
      </c>
      <c r="E84" s="7" t="s">
        <v>879</v>
      </c>
      <c r="F84" s="7" t="s">
        <v>80</v>
      </c>
      <c r="G84" s="7" t="s">
        <v>81</v>
      </c>
      <c r="H84" s="7" t="s">
        <v>82</v>
      </c>
      <c r="I84" s="7" t="s">
        <v>83</v>
      </c>
      <c r="J84" s="7" t="s">
        <v>880</v>
      </c>
      <c r="K84" s="7" t="s">
        <v>85</v>
      </c>
      <c r="L84" s="7" t="s">
        <v>881</v>
      </c>
      <c r="M84" s="7" t="s">
        <v>87</v>
      </c>
      <c r="N84" s="7"/>
      <c r="O84" s="7"/>
      <c r="P84" s="7" t="s">
        <v>106</v>
      </c>
      <c r="Q84" s="7" t="s">
        <v>144</v>
      </c>
      <c r="R84" s="7" t="s">
        <v>882</v>
      </c>
      <c r="S84" s="7"/>
      <c r="T84" s="7" t="s">
        <v>92</v>
      </c>
      <c r="U84" s="7"/>
      <c r="V84" s="7"/>
      <c r="W84" s="7"/>
      <c r="X84" s="7"/>
      <c r="Y84" s="7"/>
      <c r="Z84" s="7"/>
      <c r="AA84" s="7"/>
      <c r="AB84" s="7" t="s">
        <v>883</v>
      </c>
      <c r="AC84" s="8" t="s">
        <v>876</v>
      </c>
      <c r="AD84" s="7"/>
      <c r="AE84" s="7"/>
      <c r="AF84" s="7"/>
      <c r="AG84" s="7" t="s">
        <v>884</v>
      </c>
    </row>
    <row r="85" customFormat="false" ht="23.85" hidden="false" customHeight="false" outlineLevel="0" collapsed="false">
      <c r="A85" s="7" t="s">
        <v>1356</v>
      </c>
      <c r="B85" s="7" t="s">
        <v>811</v>
      </c>
      <c r="C85" s="7" t="s">
        <v>985</v>
      </c>
      <c r="D85" s="7" t="s">
        <v>98</v>
      </c>
      <c r="E85" s="7" t="s">
        <v>1357</v>
      </c>
      <c r="F85" s="7" t="s">
        <v>379</v>
      </c>
      <c r="G85" s="7" t="s">
        <v>81</v>
      </c>
      <c r="H85" s="7" t="s">
        <v>82</v>
      </c>
      <c r="I85" s="7" t="s">
        <v>83</v>
      </c>
      <c r="J85" s="7" t="s">
        <v>1358</v>
      </c>
      <c r="K85" s="7" t="s">
        <v>85</v>
      </c>
      <c r="L85" s="7" t="s">
        <v>1359</v>
      </c>
      <c r="M85" s="7" t="s">
        <v>87</v>
      </c>
      <c r="N85" s="7"/>
      <c r="O85" s="7"/>
      <c r="P85" s="7" t="s">
        <v>106</v>
      </c>
      <c r="Q85" s="7" t="s">
        <v>988</v>
      </c>
      <c r="R85" s="7" t="s">
        <v>1360</v>
      </c>
      <c r="S85" s="7" t="s">
        <v>1361</v>
      </c>
      <c r="T85" s="7" t="s">
        <v>109</v>
      </c>
      <c r="U85" s="7" t="s">
        <v>1362</v>
      </c>
      <c r="V85" s="8" t="s">
        <v>1363</v>
      </c>
      <c r="W85" s="7"/>
      <c r="X85" s="7"/>
      <c r="Y85" s="7"/>
      <c r="Z85" s="7"/>
      <c r="AA85" s="7"/>
      <c r="AB85" s="7"/>
      <c r="AC85" s="8" t="s">
        <v>1363</v>
      </c>
      <c r="AD85" s="7"/>
      <c r="AE85" s="7"/>
      <c r="AF85" s="7"/>
      <c r="AG85" s="7" t="s">
        <v>270</v>
      </c>
    </row>
    <row r="86" customFormat="false" ht="46.25" hidden="false" customHeight="false" outlineLevel="0" collapsed="false">
      <c r="A86" s="7" t="s">
        <v>1364</v>
      </c>
      <c r="B86" s="7" t="s">
        <v>811</v>
      </c>
      <c r="C86" s="7" t="s">
        <v>985</v>
      </c>
      <c r="D86" s="7" t="s">
        <v>98</v>
      </c>
      <c r="E86" s="7" t="s">
        <v>1365</v>
      </c>
      <c r="F86" s="7" t="s">
        <v>257</v>
      </c>
      <c r="G86" s="7" t="s">
        <v>81</v>
      </c>
      <c r="H86" s="7" t="s">
        <v>82</v>
      </c>
      <c r="I86" s="7" t="s">
        <v>83</v>
      </c>
      <c r="J86" s="7" t="s">
        <v>1366</v>
      </c>
      <c r="K86" s="7" t="s">
        <v>85</v>
      </c>
      <c r="L86" s="7" t="s">
        <v>1367</v>
      </c>
      <c r="M86" s="7" t="s">
        <v>87</v>
      </c>
      <c r="N86" s="7" t="s">
        <v>1368</v>
      </c>
      <c r="O86" s="7"/>
      <c r="P86" s="7" t="s">
        <v>106</v>
      </c>
      <c r="Q86" s="7" t="s">
        <v>988</v>
      </c>
      <c r="R86" s="7" t="s">
        <v>1369</v>
      </c>
      <c r="S86" s="7" t="s">
        <v>756</v>
      </c>
      <c r="T86" s="7" t="s">
        <v>109</v>
      </c>
      <c r="U86" s="7" t="s">
        <v>1370</v>
      </c>
      <c r="V86" s="8" t="s">
        <v>1371</v>
      </c>
      <c r="W86" s="7"/>
      <c r="X86" s="7"/>
      <c r="Y86" s="7"/>
      <c r="Z86" s="7"/>
      <c r="AA86" s="7"/>
      <c r="AB86" s="7"/>
      <c r="AC86" s="8" t="s">
        <v>1371</v>
      </c>
      <c r="AD86" s="7"/>
      <c r="AE86" s="7" t="s">
        <v>1372</v>
      </c>
      <c r="AF86" s="7"/>
      <c r="AG86" s="7" t="s">
        <v>1373</v>
      </c>
    </row>
    <row r="87" customFormat="false" ht="35.05" hidden="false" customHeight="false" outlineLevel="0" collapsed="false">
      <c r="A87" s="7" t="s">
        <v>1374</v>
      </c>
      <c r="B87" s="7" t="s">
        <v>811</v>
      </c>
      <c r="C87" s="7" t="s">
        <v>985</v>
      </c>
      <c r="D87" s="7" t="s">
        <v>98</v>
      </c>
      <c r="E87" s="7" t="s">
        <v>1375</v>
      </c>
      <c r="F87" s="7" t="s">
        <v>80</v>
      </c>
      <c r="G87" s="7" t="s">
        <v>81</v>
      </c>
      <c r="H87" s="7" t="s">
        <v>82</v>
      </c>
      <c r="I87" s="7" t="s">
        <v>83</v>
      </c>
      <c r="J87" s="7" t="s">
        <v>1376</v>
      </c>
      <c r="K87" s="7" t="s">
        <v>85</v>
      </c>
      <c r="L87" s="7" t="s">
        <v>1377</v>
      </c>
      <c r="M87" s="7" t="s">
        <v>87</v>
      </c>
      <c r="N87" s="7"/>
      <c r="O87" s="7"/>
      <c r="P87" s="7" t="s">
        <v>106</v>
      </c>
      <c r="Q87" s="7" t="s">
        <v>988</v>
      </c>
      <c r="R87" s="7" t="s">
        <v>1378</v>
      </c>
      <c r="S87" s="7" t="s">
        <v>756</v>
      </c>
      <c r="T87" s="7" t="s">
        <v>1014</v>
      </c>
      <c r="U87" s="7"/>
      <c r="V87" s="7"/>
      <c r="W87" s="7"/>
      <c r="X87" s="7"/>
      <c r="Y87" s="7" t="s">
        <v>1379</v>
      </c>
      <c r="Z87" s="7"/>
      <c r="AA87" s="7"/>
      <c r="AB87" s="7"/>
      <c r="AC87" s="8" t="s">
        <v>1380</v>
      </c>
      <c r="AD87" s="7"/>
      <c r="AE87" s="7" t="s">
        <v>1381</v>
      </c>
      <c r="AF87" s="7"/>
      <c r="AG87" s="7" t="s">
        <v>1382</v>
      </c>
    </row>
    <row r="88" customFormat="false" ht="35.05" hidden="false" customHeight="false" outlineLevel="0" collapsed="false">
      <c r="A88" s="7" t="s">
        <v>1383</v>
      </c>
      <c r="B88" s="7" t="s">
        <v>76</v>
      </c>
      <c r="C88" s="7" t="s">
        <v>985</v>
      </c>
      <c r="D88" s="7" t="s">
        <v>78</v>
      </c>
      <c r="E88" s="7" t="s">
        <v>1384</v>
      </c>
      <c r="F88" s="7" t="s">
        <v>1213</v>
      </c>
      <c r="G88" s="7" t="s">
        <v>81</v>
      </c>
      <c r="H88" s="7" t="s">
        <v>714</v>
      </c>
      <c r="I88" s="7" t="s">
        <v>888</v>
      </c>
      <c r="J88" s="7" t="s">
        <v>1385</v>
      </c>
      <c r="K88" s="7" t="s">
        <v>291</v>
      </c>
      <c r="L88" s="7" t="s">
        <v>1386</v>
      </c>
      <c r="M88" s="7" t="s">
        <v>1387</v>
      </c>
      <c r="N88" s="7" t="s">
        <v>354</v>
      </c>
      <c r="O88" s="7"/>
      <c r="P88" s="7" t="s">
        <v>1388</v>
      </c>
      <c r="Q88" s="7" t="s">
        <v>1389</v>
      </c>
      <c r="R88" s="7" t="s">
        <v>1390</v>
      </c>
      <c r="S88" s="7"/>
      <c r="T88" s="7" t="s">
        <v>109</v>
      </c>
      <c r="U88" s="7" t="s">
        <v>1391</v>
      </c>
      <c r="V88" s="8" t="s">
        <v>1392</v>
      </c>
      <c r="W88" s="7"/>
      <c r="X88" s="7"/>
      <c r="Y88" s="7"/>
      <c r="Z88" s="7"/>
      <c r="AA88" s="7"/>
      <c r="AB88" s="7"/>
      <c r="AC88" s="8" t="s">
        <v>1392</v>
      </c>
      <c r="AD88" s="7" t="s">
        <v>1393</v>
      </c>
      <c r="AE88" s="7" t="s">
        <v>1394</v>
      </c>
      <c r="AF88" s="7"/>
      <c r="AG88" s="7" t="s">
        <v>1395</v>
      </c>
    </row>
    <row r="89" customFormat="false" ht="79.85" hidden="false" customHeight="false" outlineLevel="0" collapsed="false">
      <c r="A89" s="7" t="s">
        <v>1396</v>
      </c>
      <c r="B89" s="7" t="s">
        <v>116</v>
      </c>
      <c r="C89" s="7" t="s">
        <v>985</v>
      </c>
      <c r="D89" s="7" t="s">
        <v>98</v>
      </c>
      <c r="E89" s="7" t="s">
        <v>1397</v>
      </c>
      <c r="F89" s="7" t="s">
        <v>257</v>
      </c>
      <c r="G89" s="7" t="s">
        <v>81</v>
      </c>
      <c r="H89" s="7" t="s">
        <v>714</v>
      </c>
      <c r="I89" s="7" t="s">
        <v>888</v>
      </c>
      <c r="J89" s="7" t="s">
        <v>1398</v>
      </c>
      <c r="K89" s="7" t="s">
        <v>85</v>
      </c>
      <c r="L89" s="7" t="s">
        <v>105</v>
      </c>
      <c r="M89" s="7" t="s">
        <v>1399</v>
      </c>
      <c r="N89" s="7" t="s">
        <v>1400</v>
      </c>
      <c r="O89" s="7"/>
      <c r="P89" s="7" t="s">
        <v>106</v>
      </c>
      <c r="Q89" s="7" t="s">
        <v>1401</v>
      </c>
      <c r="R89" s="7" t="s">
        <v>1402</v>
      </c>
      <c r="S89" s="7" t="s">
        <v>1403</v>
      </c>
      <c r="T89" s="7" t="s">
        <v>92</v>
      </c>
      <c r="U89" s="7"/>
      <c r="V89" s="7"/>
      <c r="W89" s="7"/>
      <c r="X89" s="7"/>
      <c r="Y89" s="7"/>
      <c r="Z89" s="7"/>
      <c r="AA89" s="7"/>
      <c r="AB89" s="7"/>
      <c r="AC89" s="8" t="s">
        <v>1404</v>
      </c>
      <c r="AD89" s="7"/>
      <c r="AE89" s="7" t="s">
        <v>1405</v>
      </c>
      <c r="AF89" s="7" t="s">
        <v>1406</v>
      </c>
      <c r="AG89" s="7" t="s">
        <v>1407</v>
      </c>
    </row>
    <row r="90" customFormat="false" ht="91" hidden="false" customHeight="false" outlineLevel="0" collapsed="false">
      <c r="A90" s="7" t="s">
        <v>1408</v>
      </c>
      <c r="B90" s="7" t="s">
        <v>116</v>
      </c>
      <c r="C90" s="7" t="s">
        <v>985</v>
      </c>
      <c r="D90" s="7" t="s">
        <v>98</v>
      </c>
      <c r="E90" s="7" t="s">
        <v>1409</v>
      </c>
      <c r="F90" s="7" t="s">
        <v>100</v>
      </c>
      <c r="G90" s="7" t="s">
        <v>81</v>
      </c>
      <c r="H90" s="7" t="s">
        <v>714</v>
      </c>
      <c r="I90" s="7" t="s">
        <v>888</v>
      </c>
      <c r="J90" s="7" t="s">
        <v>1410</v>
      </c>
      <c r="K90" s="7" t="s">
        <v>85</v>
      </c>
      <c r="L90" s="7" t="s">
        <v>105</v>
      </c>
      <c r="M90" s="7" t="s">
        <v>87</v>
      </c>
      <c r="N90" s="7" t="s">
        <v>1411</v>
      </c>
      <c r="O90" s="7"/>
      <c r="P90" s="7" t="s">
        <v>106</v>
      </c>
      <c r="Q90" s="7" t="s">
        <v>1276</v>
      </c>
      <c r="R90" s="7" t="s">
        <v>1412</v>
      </c>
      <c r="S90" s="7"/>
      <c r="T90" s="7" t="s">
        <v>109</v>
      </c>
      <c r="U90" s="7" t="s">
        <v>1413</v>
      </c>
      <c r="V90" s="8" t="s">
        <v>1414</v>
      </c>
      <c r="W90" s="7"/>
      <c r="X90" s="7"/>
      <c r="Y90" s="7"/>
      <c r="Z90" s="7"/>
      <c r="AA90" s="7"/>
      <c r="AB90" s="7"/>
      <c r="AC90" s="8" t="s">
        <v>1414</v>
      </c>
      <c r="AD90" s="7"/>
      <c r="AE90" s="7" t="s">
        <v>1415</v>
      </c>
      <c r="AF90" s="7"/>
      <c r="AG90" s="7" t="s">
        <v>1416</v>
      </c>
    </row>
    <row r="91" customFormat="false" ht="79.85" hidden="false" customHeight="false" outlineLevel="0" collapsed="false">
      <c r="A91" s="7" t="s">
        <v>1417</v>
      </c>
      <c r="B91" s="7" t="s">
        <v>116</v>
      </c>
      <c r="C91" s="7" t="s">
        <v>985</v>
      </c>
      <c r="D91" s="7" t="s">
        <v>78</v>
      </c>
      <c r="E91" s="7" t="s">
        <v>1418</v>
      </c>
      <c r="F91" s="7" t="s">
        <v>80</v>
      </c>
      <c r="G91" s="7" t="s">
        <v>81</v>
      </c>
      <c r="H91" s="7" t="s">
        <v>714</v>
      </c>
      <c r="I91" s="7" t="s">
        <v>888</v>
      </c>
      <c r="J91" s="7" t="s">
        <v>1419</v>
      </c>
      <c r="K91" s="7" t="s">
        <v>85</v>
      </c>
      <c r="L91" s="7" t="s">
        <v>1420</v>
      </c>
      <c r="M91" s="7" t="s">
        <v>1421</v>
      </c>
      <c r="N91" s="7"/>
      <c r="O91" s="7"/>
      <c r="P91" s="7" t="s">
        <v>88</v>
      </c>
      <c r="Q91" s="7" t="s">
        <v>1422</v>
      </c>
      <c r="R91" s="7" t="s">
        <v>1423</v>
      </c>
      <c r="S91" s="7" t="s">
        <v>1424</v>
      </c>
      <c r="T91" s="7" t="s">
        <v>92</v>
      </c>
      <c r="U91" s="7"/>
      <c r="V91" s="7"/>
      <c r="W91" s="7"/>
      <c r="X91" s="7"/>
      <c r="Y91" s="7"/>
      <c r="Z91" s="7"/>
      <c r="AA91" s="7"/>
      <c r="AB91" s="7"/>
      <c r="AC91" s="8" t="s">
        <v>1404</v>
      </c>
      <c r="AD91" s="7" t="s">
        <v>331</v>
      </c>
      <c r="AE91" s="7" t="s">
        <v>1425</v>
      </c>
      <c r="AF91" s="7"/>
      <c r="AG91" s="7" t="s">
        <v>1426</v>
      </c>
    </row>
    <row r="92" customFormat="false" ht="57.45" hidden="false" customHeight="false" outlineLevel="0" collapsed="false">
      <c r="A92" s="7" t="s">
        <v>1427</v>
      </c>
      <c r="B92" s="7" t="s">
        <v>116</v>
      </c>
      <c r="C92" s="7" t="s">
        <v>985</v>
      </c>
      <c r="D92" s="7" t="s">
        <v>78</v>
      </c>
      <c r="E92" s="7" t="s">
        <v>1428</v>
      </c>
      <c r="F92" s="7" t="s">
        <v>80</v>
      </c>
      <c r="G92" s="7" t="s">
        <v>81</v>
      </c>
      <c r="H92" s="7" t="s">
        <v>714</v>
      </c>
      <c r="I92" s="7" t="s">
        <v>888</v>
      </c>
      <c r="J92" s="7" t="s">
        <v>1429</v>
      </c>
      <c r="K92" s="7" t="s">
        <v>85</v>
      </c>
      <c r="L92" s="7" t="s">
        <v>1430</v>
      </c>
      <c r="M92" s="7" t="s">
        <v>87</v>
      </c>
      <c r="N92" s="7"/>
      <c r="O92" s="7"/>
      <c r="P92" s="7" t="s">
        <v>88</v>
      </c>
      <c r="Q92" s="7" t="s">
        <v>988</v>
      </c>
      <c r="R92" s="7" t="s">
        <v>1431</v>
      </c>
      <c r="S92" s="7" t="s">
        <v>1432</v>
      </c>
      <c r="T92" s="7" t="s">
        <v>109</v>
      </c>
      <c r="U92" s="7" t="s">
        <v>1433</v>
      </c>
      <c r="V92" s="8" t="s">
        <v>1434</v>
      </c>
      <c r="W92" s="7"/>
      <c r="X92" s="7"/>
      <c r="Y92" s="7"/>
      <c r="Z92" s="7"/>
      <c r="AA92" s="7"/>
      <c r="AB92" s="7"/>
      <c r="AC92" s="8" t="s">
        <v>1404</v>
      </c>
      <c r="AD92" s="7"/>
      <c r="AE92" s="7" t="s">
        <v>1435</v>
      </c>
      <c r="AF92" s="7"/>
      <c r="AG92" s="7" t="s">
        <v>1436</v>
      </c>
    </row>
    <row r="93" customFormat="false" ht="79.85" hidden="false" customHeight="false" outlineLevel="0" collapsed="false">
      <c r="A93" s="7" t="s">
        <v>1437</v>
      </c>
      <c r="B93" s="7" t="s">
        <v>116</v>
      </c>
      <c r="C93" s="7" t="s">
        <v>985</v>
      </c>
      <c r="D93" s="7" t="s">
        <v>78</v>
      </c>
      <c r="E93" s="7" t="s">
        <v>1438</v>
      </c>
      <c r="F93" s="7" t="s">
        <v>100</v>
      </c>
      <c r="G93" s="7" t="s">
        <v>81</v>
      </c>
      <c r="H93" s="7" t="s">
        <v>714</v>
      </c>
      <c r="I93" s="7" t="s">
        <v>888</v>
      </c>
      <c r="J93" s="7" t="s">
        <v>1439</v>
      </c>
      <c r="K93" s="7" t="s">
        <v>85</v>
      </c>
      <c r="L93" s="7" t="s">
        <v>1440</v>
      </c>
      <c r="M93" s="7" t="s">
        <v>1441</v>
      </c>
      <c r="N93" s="7"/>
      <c r="O93" s="7" t="s">
        <v>1442</v>
      </c>
      <c r="P93" s="7" t="s">
        <v>1443</v>
      </c>
      <c r="Q93" s="7" t="s">
        <v>1444</v>
      </c>
      <c r="R93" s="7" t="s">
        <v>1445</v>
      </c>
      <c r="S93" s="7" t="s">
        <v>1446</v>
      </c>
      <c r="T93" s="7" t="s">
        <v>92</v>
      </c>
      <c r="U93" s="7"/>
      <c r="V93" s="7"/>
      <c r="W93" s="7"/>
      <c r="X93" s="7"/>
      <c r="Y93" s="7"/>
      <c r="Z93" s="7"/>
      <c r="AA93" s="7"/>
      <c r="AB93" s="7"/>
      <c r="AC93" s="8" t="s">
        <v>1447</v>
      </c>
      <c r="AD93" s="7"/>
      <c r="AE93" s="7" t="s">
        <v>1448</v>
      </c>
      <c r="AF93" s="7" t="s">
        <v>1449</v>
      </c>
      <c r="AG93" s="7" t="s">
        <v>1450</v>
      </c>
    </row>
    <row r="94" customFormat="false" ht="68.65" hidden="false" customHeight="false" outlineLevel="0" collapsed="false">
      <c r="A94" s="7" t="s">
        <v>1451</v>
      </c>
      <c r="B94" s="7" t="s">
        <v>116</v>
      </c>
      <c r="C94" s="7" t="s">
        <v>985</v>
      </c>
      <c r="D94" s="7" t="s">
        <v>78</v>
      </c>
      <c r="E94" s="7" t="s">
        <v>1452</v>
      </c>
      <c r="F94" s="7" t="s">
        <v>80</v>
      </c>
      <c r="G94" s="7" t="s">
        <v>81</v>
      </c>
      <c r="H94" s="7" t="s">
        <v>714</v>
      </c>
      <c r="I94" s="7" t="s">
        <v>888</v>
      </c>
      <c r="J94" s="7" t="s">
        <v>1453</v>
      </c>
      <c r="K94" s="7" t="s">
        <v>85</v>
      </c>
      <c r="L94" s="7" t="s">
        <v>1454</v>
      </c>
      <c r="M94" s="7" t="s">
        <v>87</v>
      </c>
      <c r="N94" s="7" t="s">
        <v>1455</v>
      </c>
      <c r="O94" s="7"/>
      <c r="P94" s="7" t="s">
        <v>88</v>
      </c>
      <c r="Q94" s="7" t="s">
        <v>988</v>
      </c>
      <c r="R94" s="7" t="s">
        <v>1456</v>
      </c>
      <c r="S94" s="7" t="s">
        <v>1424</v>
      </c>
      <c r="T94" s="7" t="s">
        <v>92</v>
      </c>
      <c r="U94" s="7"/>
      <c r="V94" s="7"/>
      <c r="W94" s="7"/>
      <c r="X94" s="7"/>
      <c r="Y94" s="7"/>
      <c r="Z94" s="7"/>
      <c r="AA94" s="7"/>
      <c r="AB94" s="7"/>
      <c r="AC94" s="8" t="s">
        <v>1457</v>
      </c>
      <c r="AD94" s="7" t="s">
        <v>1458</v>
      </c>
      <c r="AE94" s="7" t="s">
        <v>1459</v>
      </c>
      <c r="AF94" s="7"/>
      <c r="AG94" s="7" t="s">
        <v>1460</v>
      </c>
    </row>
    <row r="95" customFormat="false" ht="35.05" hidden="false" customHeight="false" outlineLevel="0" collapsed="false">
      <c r="A95" s="7" t="s">
        <v>885</v>
      </c>
      <c r="B95" s="7" t="s">
        <v>811</v>
      </c>
      <c r="C95" s="7" t="s">
        <v>141</v>
      </c>
      <c r="D95" s="7" t="s">
        <v>98</v>
      </c>
      <c r="E95" s="7" t="s">
        <v>886</v>
      </c>
      <c r="F95" s="7" t="s">
        <v>887</v>
      </c>
      <c r="G95" s="7" t="s">
        <v>81</v>
      </c>
      <c r="H95" s="7" t="s">
        <v>714</v>
      </c>
      <c r="I95" s="7" t="s">
        <v>888</v>
      </c>
      <c r="J95" s="7" t="s">
        <v>889</v>
      </c>
      <c r="K95" s="7" t="s">
        <v>85</v>
      </c>
      <c r="L95" s="7" t="s">
        <v>890</v>
      </c>
      <c r="M95" s="7" t="s">
        <v>891</v>
      </c>
      <c r="N95" s="7" t="s">
        <v>339</v>
      </c>
      <c r="O95" s="7"/>
      <c r="P95" s="7" t="s">
        <v>106</v>
      </c>
      <c r="Q95" s="7" t="s">
        <v>892</v>
      </c>
      <c r="R95" s="7" t="s">
        <v>893</v>
      </c>
      <c r="S95" s="7"/>
      <c r="T95" s="7" t="s">
        <v>92</v>
      </c>
      <c r="U95" s="7"/>
      <c r="V95" s="7"/>
      <c r="W95" s="7"/>
      <c r="X95" s="7"/>
      <c r="Y95" s="7"/>
      <c r="Z95" s="7"/>
      <c r="AA95" s="7"/>
      <c r="AB95" s="7"/>
      <c r="AC95" s="8" t="s">
        <v>894</v>
      </c>
      <c r="AD95" s="7"/>
      <c r="AE95" s="7" t="s">
        <v>895</v>
      </c>
      <c r="AF95" s="7"/>
      <c r="AG95" s="7" t="s">
        <v>896</v>
      </c>
    </row>
    <row r="96" customFormat="false" ht="79.85" hidden="false" customHeight="false" outlineLevel="0" collapsed="false">
      <c r="A96" s="7" t="s">
        <v>897</v>
      </c>
      <c r="B96" s="7" t="s">
        <v>811</v>
      </c>
      <c r="C96" s="7" t="s">
        <v>141</v>
      </c>
      <c r="D96" s="7" t="s">
        <v>98</v>
      </c>
      <c r="E96" s="7" t="s">
        <v>898</v>
      </c>
      <c r="F96" s="7" t="s">
        <v>257</v>
      </c>
      <c r="G96" s="7" t="s">
        <v>81</v>
      </c>
      <c r="H96" s="7" t="s">
        <v>714</v>
      </c>
      <c r="I96" s="7" t="s">
        <v>888</v>
      </c>
      <c r="J96" s="7" t="s">
        <v>899</v>
      </c>
      <c r="K96" s="7" t="s">
        <v>85</v>
      </c>
      <c r="L96" s="7" t="s">
        <v>900</v>
      </c>
      <c r="M96" s="7" t="s">
        <v>87</v>
      </c>
      <c r="N96" s="7" t="s">
        <v>901</v>
      </c>
      <c r="O96" s="7"/>
      <c r="P96" s="7" t="s">
        <v>106</v>
      </c>
      <c r="Q96" s="7" t="s">
        <v>144</v>
      </c>
      <c r="R96" s="7" t="s">
        <v>902</v>
      </c>
      <c r="S96" s="7" t="s">
        <v>756</v>
      </c>
      <c r="T96" s="7" t="s">
        <v>92</v>
      </c>
      <c r="U96" s="7"/>
      <c r="V96" s="7"/>
      <c r="W96" s="7"/>
      <c r="X96" s="7"/>
      <c r="Y96" s="7"/>
      <c r="Z96" s="7"/>
      <c r="AA96" s="7"/>
      <c r="AB96" s="7"/>
      <c r="AC96" s="8" t="s">
        <v>903</v>
      </c>
      <c r="AD96" s="7"/>
      <c r="AE96" s="7" t="s">
        <v>904</v>
      </c>
      <c r="AF96" s="7"/>
      <c r="AG96" s="7" t="s">
        <v>905</v>
      </c>
    </row>
    <row r="97" customFormat="false" ht="35.05" hidden="false" customHeight="false" outlineLevel="0" collapsed="false">
      <c r="A97" s="7" t="s">
        <v>975</v>
      </c>
      <c r="B97" s="7" t="s">
        <v>811</v>
      </c>
      <c r="C97" s="7" t="s">
        <v>955</v>
      </c>
      <c r="D97" s="7" t="s">
        <v>98</v>
      </c>
      <c r="E97" s="7" t="s">
        <v>976</v>
      </c>
      <c r="F97" s="7" t="s">
        <v>118</v>
      </c>
      <c r="G97" s="7" t="s">
        <v>81</v>
      </c>
      <c r="H97" s="7" t="s">
        <v>714</v>
      </c>
      <c r="I97" s="7" t="s">
        <v>888</v>
      </c>
      <c r="J97" s="7" t="s">
        <v>977</v>
      </c>
      <c r="K97" s="7" t="s">
        <v>978</v>
      </c>
      <c r="L97" s="7" t="s">
        <v>105</v>
      </c>
      <c r="M97" s="7" t="s">
        <v>122</v>
      </c>
      <c r="N97" s="7"/>
      <c r="O97" s="7"/>
      <c r="P97" s="7" t="s">
        <v>123</v>
      </c>
      <c r="Q97" s="7" t="s">
        <v>124</v>
      </c>
      <c r="R97" s="7" t="s">
        <v>979</v>
      </c>
      <c r="S97" s="7" t="s">
        <v>980</v>
      </c>
      <c r="T97" s="7" t="s">
        <v>92</v>
      </c>
      <c r="U97" s="7"/>
      <c r="V97" s="7"/>
      <c r="W97" s="7"/>
      <c r="X97" s="7"/>
      <c r="Y97" s="7"/>
      <c r="Z97" s="7"/>
      <c r="AA97" s="7"/>
      <c r="AB97" s="7"/>
      <c r="AC97" s="8" t="s">
        <v>981</v>
      </c>
      <c r="AD97" s="7"/>
      <c r="AE97" s="7" t="s">
        <v>982</v>
      </c>
      <c r="AF97" s="7"/>
      <c r="AG97" s="7" t="s">
        <v>983</v>
      </c>
    </row>
    <row r="98" customFormat="false" ht="35.05" hidden="false" customHeight="false" outlineLevel="0" collapsed="false">
      <c r="A98" s="7" t="s">
        <v>1461</v>
      </c>
      <c r="B98" s="7" t="s">
        <v>811</v>
      </c>
      <c r="C98" s="7" t="s">
        <v>985</v>
      </c>
      <c r="D98" s="7" t="s">
        <v>98</v>
      </c>
      <c r="E98" s="7" t="s">
        <v>1462</v>
      </c>
      <c r="F98" s="7" t="s">
        <v>257</v>
      </c>
      <c r="G98" s="7" t="s">
        <v>81</v>
      </c>
      <c r="H98" s="7" t="s">
        <v>714</v>
      </c>
      <c r="I98" s="7" t="s">
        <v>888</v>
      </c>
      <c r="J98" s="7" t="s">
        <v>1463</v>
      </c>
      <c r="K98" s="7" t="s">
        <v>85</v>
      </c>
      <c r="L98" s="7" t="s">
        <v>1464</v>
      </c>
      <c r="M98" s="7" t="s">
        <v>87</v>
      </c>
      <c r="N98" s="7" t="s">
        <v>490</v>
      </c>
      <c r="O98" s="7"/>
      <c r="P98" s="7" t="s">
        <v>106</v>
      </c>
      <c r="Q98" s="7" t="s">
        <v>988</v>
      </c>
      <c r="R98" s="7" t="s">
        <v>1465</v>
      </c>
      <c r="S98" s="7" t="s">
        <v>1466</v>
      </c>
      <c r="T98" s="7" t="s">
        <v>92</v>
      </c>
      <c r="U98" s="7"/>
      <c r="V98" s="7"/>
      <c r="W98" s="7"/>
      <c r="X98" s="7"/>
      <c r="Y98" s="7"/>
      <c r="Z98" s="7"/>
      <c r="AA98" s="7"/>
      <c r="AB98" s="7"/>
      <c r="AC98" s="8" t="s">
        <v>1404</v>
      </c>
      <c r="AD98" s="7"/>
      <c r="AE98" s="7" t="s">
        <v>1467</v>
      </c>
      <c r="AF98" s="7"/>
      <c r="AG98" s="7" t="s">
        <v>1468</v>
      </c>
    </row>
    <row r="99" customFormat="false" ht="35.05" hidden="false" customHeight="false" outlineLevel="0" collapsed="false">
      <c r="A99" s="7" t="s">
        <v>1469</v>
      </c>
      <c r="B99" s="7" t="s">
        <v>116</v>
      </c>
      <c r="C99" s="7" t="s">
        <v>985</v>
      </c>
      <c r="D99" s="7" t="s">
        <v>98</v>
      </c>
      <c r="E99" s="7" t="s">
        <v>1470</v>
      </c>
      <c r="F99" s="7" t="s">
        <v>80</v>
      </c>
      <c r="G99" s="7" t="s">
        <v>81</v>
      </c>
      <c r="H99" s="7" t="s">
        <v>714</v>
      </c>
      <c r="I99" s="7" t="s">
        <v>1471</v>
      </c>
      <c r="J99" s="7"/>
      <c r="K99" s="7" t="s">
        <v>85</v>
      </c>
      <c r="L99" s="7" t="s">
        <v>105</v>
      </c>
      <c r="M99" s="7" t="s">
        <v>87</v>
      </c>
      <c r="N99" s="7"/>
      <c r="O99" s="7"/>
      <c r="P99" s="7" t="s">
        <v>106</v>
      </c>
      <c r="Q99" s="7" t="s">
        <v>988</v>
      </c>
      <c r="R99" s="7" t="s">
        <v>1472</v>
      </c>
      <c r="S99" s="7"/>
      <c r="T99" s="7" t="s">
        <v>109</v>
      </c>
      <c r="U99" s="7" t="s">
        <v>1473</v>
      </c>
      <c r="V99" s="8" t="s">
        <v>1474</v>
      </c>
      <c r="W99" s="7"/>
      <c r="X99" s="7"/>
      <c r="Y99" s="7"/>
      <c r="Z99" s="7"/>
      <c r="AA99" s="7"/>
      <c r="AB99" s="7"/>
      <c r="AC99" s="8" t="s">
        <v>1474</v>
      </c>
      <c r="AD99" s="7" t="s">
        <v>177</v>
      </c>
      <c r="AE99" s="7"/>
      <c r="AF99" s="7"/>
      <c r="AG99" s="7"/>
    </row>
    <row r="100" customFormat="false" ht="23.85" hidden="false" customHeight="false" outlineLevel="0" collapsed="false">
      <c r="A100" s="7" t="s">
        <v>1475</v>
      </c>
      <c r="B100" s="7" t="s">
        <v>116</v>
      </c>
      <c r="C100" s="7" t="s">
        <v>985</v>
      </c>
      <c r="D100" s="7" t="s">
        <v>98</v>
      </c>
      <c r="E100" s="7" t="s">
        <v>1476</v>
      </c>
      <c r="F100" s="7" t="s">
        <v>80</v>
      </c>
      <c r="G100" s="7" t="s">
        <v>81</v>
      </c>
      <c r="H100" s="7" t="s">
        <v>714</v>
      </c>
      <c r="I100" s="7" t="s">
        <v>1471</v>
      </c>
      <c r="J100" s="7" t="s">
        <v>1477</v>
      </c>
      <c r="K100" s="7" t="s">
        <v>85</v>
      </c>
      <c r="L100" s="7" t="s">
        <v>105</v>
      </c>
      <c r="M100" s="7" t="s">
        <v>87</v>
      </c>
      <c r="N100" s="7"/>
      <c r="O100" s="7"/>
      <c r="P100" s="7" t="s">
        <v>106</v>
      </c>
      <c r="Q100" s="7" t="s">
        <v>988</v>
      </c>
      <c r="R100" s="7" t="s">
        <v>1478</v>
      </c>
      <c r="S100" s="7"/>
      <c r="T100" s="7" t="s">
        <v>92</v>
      </c>
      <c r="U100" s="7"/>
      <c r="V100" s="7"/>
      <c r="W100" s="7"/>
      <c r="X100" s="7"/>
      <c r="Y100" s="7"/>
      <c r="Z100" s="7"/>
      <c r="AA100" s="7"/>
      <c r="AB100" s="7"/>
      <c r="AC100" s="8" t="s">
        <v>1479</v>
      </c>
      <c r="AD100" s="7"/>
      <c r="AE100" s="7"/>
      <c r="AF100" s="7"/>
      <c r="AG100" s="7" t="s">
        <v>96</v>
      </c>
    </row>
    <row r="101" customFormat="false" ht="35.05" hidden="false" customHeight="false" outlineLevel="0" collapsed="false">
      <c r="A101" s="7" t="s">
        <v>1480</v>
      </c>
      <c r="B101" s="7" t="s">
        <v>811</v>
      </c>
      <c r="C101" s="7" t="s">
        <v>985</v>
      </c>
      <c r="D101" s="7" t="s">
        <v>98</v>
      </c>
      <c r="E101" s="7" t="s">
        <v>1481</v>
      </c>
      <c r="F101" s="7" t="s">
        <v>80</v>
      </c>
      <c r="G101" s="7" t="s">
        <v>81</v>
      </c>
      <c r="H101" s="7" t="s">
        <v>714</v>
      </c>
      <c r="I101" s="7" t="s">
        <v>1471</v>
      </c>
      <c r="J101" s="7"/>
      <c r="K101" s="7" t="s">
        <v>85</v>
      </c>
      <c r="L101" s="7" t="s">
        <v>105</v>
      </c>
      <c r="M101" s="7" t="s">
        <v>87</v>
      </c>
      <c r="N101" s="7"/>
      <c r="O101" s="7"/>
      <c r="P101" s="7" t="s">
        <v>106</v>
      </c>
      <c r="Q101" s="7" t="s">
        <v>988</v>
      </c>
      <c r="R101" s="7" t="s">
        <v>1482</v>
      </c>
      <c r="S101" s="7"/>
      <c r="T101" s="7" t="s">
        <v>109</v>
      </c>
      <c r="U101" s="7" t="s">
        <v>1483</v>
      </c>
      <c r="V101" s="8" t="s">
        <v>1484</v>
      </c>
      <c r="W101" s="7"/>
      <c r="X101" s="7"/>
      <c r="Y101" s="7"/>
      <c r="Z101" s="7"/>
      <c r="AA101" s="7"/>
      <c r="AB101" s="7"/>
      <c r="AC101" s="8" t="s">
        <v>1484</v>
      </c>
      <c r="AD101" s="7" t="s">
        <v>177</v>
      </c>
      <c r="AE101" s="7"/>
      <c r="AF101" s="7"/>
      <c r="AG101" s="7"/>
    </row>
    <row r="102" customFormat="false" ht="35.05" hidden="false" customHeight="false" outlineLevel="0" collapsed="false">
      <c r="A102" s="7" t="s">
        <v>712</v>
      </c>
      <c r="B102" s="7" t="s">
        <v>116</v>
      </c>
      <c r="C102" s="7" t="s">
        <v>141</v>
      </c>
      <c r="D102" s="7" t="s">
        <v>98</v>
      </c>
      <c r="E102" s="7" t="s">
        <v>713</v>
      </c>
      <c r="F102" s="7" t="s">
        <v>100</v>
      </c>
      <c r="G102" s="7" t="s">
        <v>81</v>
      </c>
      <c r="H102" s="7" t="s">
        <v>714</v>
      </c>
      <c r="I102" s="7" t="s">
        <v>715</v>
      </c>
      <c r="J102" s="7" t="s">
        <v>716</v>
      </c>
      <c r="K102" s="7" t="s">
        <v>85</v>
      </c>
      <c r="L102" s="7" t="s">
        <v>105</v>
      </c>
      <c r="M102" s="7" t="s">
        <v>87</v>
      </c>
      <c r="N102" s="7"/>
      <c r="O102" s="7"/>
      <c r="P102" s="7" t="s">
        <v>106</v>
      </c>
      <c r="Q102" s="7" t="s">
        <v>144</v>
      </c>
      <c r="R102" s="7" t="s">
        <v>717</v>
      </c>
      <c r="S102" s="7" t="s">
        <v>718</v>
      </c>
      <c r="T102" s="7" t="s">
        <v>189</v>
      </c>
      <c r="U102" s="7"/>
      <c r="V102" s="7"/>
      <c r="W102" s="8" t="s">
        <v>719</v>
      </c>
      <c r="X102" s="7"/>
      <c r="Y102" s="7"/>
      <c r="Z102" s="7"/>
      <c r="AA102" s="7"/>
      <c r="AB102" s="7"/>
      <c r="AC102" s="8" t="s">
        <v>719</v>
      </c>
      <c r="AD102" s="7" t="s">
        <v>720</v>
      </c>
      <c r="AE102" s="7" t="s">
        <v>721</v>
      </c>
      <c r="AF102" s="7" t="s">
        <v>722</v>
      </c>
      <c r="AG102" s="7" t="s">
        <v>723</v>
      </c>
    </row>
    <row r="103" customFormat="false" ht="23.85" hidden="false" customHeight="false" outlineLevel="0" collapsed="false">
      <c r="A103" s="7" t="s">
        <v>1485</v>
      </c>
      <c r="B103" s="7" t="s">
        <v>76</v>
      </c>
      <c r="C103" s="7" t="s">
        <v>985</v>
      </c>
      <c r="D103" s="7" t="s">
        <v>78</v>
      </c>
      <c r="E103" s="7" t="s">
        <v>1486</v>
      </c>
      <c r="F103" s="7" t="s">
        <v>80</v>
      </c>
      <c r="G103" s="7" t="s">
        <v>81</v>
      </c>
      <c r="H103" s="7" t="s">
        <v>714</v>
      </c>
      <c r="I103" s="7" t="s">
        <v>1487</v>
      </c>
      <c r="J103" s="7"/>
      <c r="K103" s="7" t="s">
        <v>85</v>
      </c>
      <c r="L103" s="7" t="s">
        <v>105</v>
      </c>
      <c r="M103" s="7" t="s">
        <v>87</v>
      </c>
      <c r="N103" s="7"/>
      <c r="O103" s="7"/>
      <c r="P103" s="7" t="s">
        <v>1488</v>
      </c>
      <c r="Q103" s="7" t="s">
        <v>988</v>
      </c>
      <c r="R103" s="7" t="s">
        <v>1489</v>
      </c>
      <c r="S103" s="7"/>
      <c r="T103" s="7" t="s">
        <v>109</v>
      </c>
      <c r="U103" s="7" t="s">
        <v>1490</v>
      </c>
      <c r="V103" s="8" t="s">
        <v>1491</v>
      </c>
      <c r="W103" s="7"/>
      <c r="X103" s="7"/>
      <c r="Y103" s="7"/>
      <c r="Z103" s="7"/>
      <c r="AA103" s="7"/>
      <c r="AB103" s="7"/>
      <c r="AC103" s="8" t="s">
        <v>1491</v>
      </c>
      <c r="AD103" s="7"/>
      <c r="AE103" s="7"/>
      <c r="AF103" s="7"/>
      <c r="AG103" s="7"/>
    </row>
    <row r="104" customFormat="false" ht="79.85" hidden="false" customHeight="false" outlineLevel="0" collapsed="false">
      <c r="A104" s="7" t="s">
        <v>1492</v>
      </c>
      <c r="B104" s="7" t="s">
        <v>76</v>
      </c>
      <c r="C104" s="7" t="s">
        <v>985</v>
      </c>
      <c r="D104" s="7" t="s">
        <v>78</v>
      </c>
      <c r="E104" s="7" t="s">
        <v>1493</v>
      </c>
      <c r="F104" s="7" t="s">
        <v>80</v>
      </c>
      <c r="G104" s="7" t="s">
        <v>81</v>
      </c>
      <c r="H104" s="7" t="s">
        <v>714</v>
      </c>
      <c r="I104" s="7" t="s">
        <v>1487</v>
      </c>
      <c r="J104" s="7" t="s">
        <v>1494</v>
      </c>
      <c r="K104" s="7" t="s">
        <v>85</v>
      </c>
      <c r="L104" s="7" t="s">
        <v>1495</v>
      </c>
      <c r="M104" s="7" t="s">
        <v>1496</v>
      </c>
      <c r="N104" s="7"/>
      <c r="O104" s="7" t="s">
        <v>1497</v>
      </c>
      <c r="P104" s="7" t="s">
        <v>1498</v>
      </c>
      <c r="Q104" s="7" t="s">
        <v>1499</v>
      </c>
      <c r="R104" s="7" t="s">
        <v>1500</v>
      </c>
      <c r="S104" s="7" t="s">
        <v>1501</v>
      </c>
      <c r="T104" s="7" t="s">
        <v>109</v>
      </c>
      <c r="U104" s="7" t="s">
        <v>1502</v>
      </c>
      <c r="V104" s="8" t="s">
        <v>1503</v>
      </c>
      <c r="W104" s="7"/>
      <c r="X104" s="7"/>
      <c r="Y104" s="7"/>
      <c r="Z104" s="7"/>
      <c r="AA104" s="7"/>
      <c r="AB104" s="7" t="s">
        <v>1504</v>
      </c>
      <c r="AC104" s="8" t="s">
        <v>1505</v>
      </c>
      <c r="AD104" s="7"/>
      <c r="AE104" s="7" t="s">
        <v>1506</v>
      </c>
      <c r="AF104" s="7"/>
      <c r="AG104" s="7" t="s">
        <v>1507</v>
      </c>
    </row>
    <row r="105" customFormat="false" ht="35.05" hidden="false" customHeight="false" outlineLevel="0" collapsed="false">
      <c r="A105" s="7" t="s">
        <v>1508</v>
      </c>
      <c r="B105" s="7" t="s">
        <v>116</v>
      </c>
      <c r="C105" s="7" t="s">
        <v>985</v>
      </c>
      <c r="D105" s="7" t="s">
        <v>98</v>
      </c>
      <c r="E105" s="7" t="s">
        <v>1509</v>
      </c>
      <c r="F105" s="7" t="s">
        <v>80</v>
      </c>
      <c r="G105" s="7" t="s">
        <v>81</v>
      </c>
      <c r="H105" s="7" t="s">
        <v>714</v>
      </c>
      <c r="I105" s="7" t="s">
        <v>1487</v>
      </c>
      <c r="J105" s="7"/>
      <c r="K105" s="7" t="s">
        <v>85</v>
      </c>
      <c r="L105" s="7" t="s">
        <v>105</v>
      </c>
      <c r="M105" s="7" t="s">
        <v>87</v>
      </c>
      <c r="N105" s="7"/>
      <c r="O105" s="7"/>
      <c r="P105" s="7" t="s">
        <v>106</v>
      </c>
      <c r="Q105" s="7" t="s">
        <v>988</v>
      </c>
      <c r="R105" s="7" t="s">
        <v>1510</v>
      </c>
      <c r="S105" s="7"/>
      <c r="T105" s="7" t="s">
        <v>109</v>
      </c>
      <c r="U105" s="7" t="s">
        <v>1511</v>
      </c>
      <c r="V105" s="8" t="s">
        <v>1512</v>
      </c>
      <c r="W105" s="7"/>
      <c r="X105" s="7"/>
      <c r="Y105" s="7"/>
      <c r="Z105" s="7"/>
      <c r="AA105" s="7"/>
      <c r="AB105" s="7"/>
      <c r="AC105" s="8" t="s">
        <v>1512</v>
      </c>
      <c r="AD105" s="7" t="s">
        <v>177</v>
      </c>
      <c r="AE105" s="7"/>
      <c r="AF105" s="7"/>
      <c r="AG105" s="7"/>
    </row>
    <row r="106" customFormat="false" ht="23.85" hidden="false" customHeight="false" outlineLevel="0" collapsed="false">
      <c r="A106" s="7" t="s">
        <v>1513</v>
      </c>
      <c r="B106" s="7" t="s">
        <v>116</v>
      </c>
      <c r="C106" s="7" t="s">
        <v>985</v>
      </c>
      <c r="D106" s="7" t="s">
        <v>98</v>
      </c>
      <c r="E106" s="7" t="s">
        <v>1514</v>
      </c>
      <c r="F106" s="7" t="s">
        <v>80</v>
      </c>
      <c r="G106" s="7" t="s">
        <v>81</v>
      </c>
      <c r="H106" s="7" t="s">
        <v>714</v>
      </c>
      <c r="I106" s="7" t="s">
        <v>1487</v>
      </c>
      <c r="J106" s="7" t="s">
        <v>1515</v>
      </c>
      <c r="K106" s="7" t="s">
        <v>85</v>
      </c>
      <c r="L106" s="7" t="s">
        <v>105</v>
      </c>
      <c r="M106" s="7" t="s">
        <v>87</v>
      </c>
      <c r="N106" s="7"/>
      <c r="O106" s="7"/>
      <c r="P106" s="7" t="s">
        <v>106</v>
      </c>
      <c r="Q106" s="7" t="s">
        <v>988</v>
      </c>
      <c r="R106" s="7" t="s">
        <v>1516</v>
      </c>
      <c r="S106" s="7" t="s">
        <v>1517</v>
      </c>
      <c r="T106" s="7" t="s">
        <v>92</v>
      </c>
      <c r="U106" s="7"/>
      <c r="V106" s="7"/>
      <c r="W106" s="7"/>
      <c r="X106" s="7"/>
      <c r="Y106" s="7"/>
      <c r="Z106" s="7"/>
      <c r="AA106" s="7"/>
      <c r="AB106" s="7"/>
      <c r="AC106" s="8" t="s">
        <v>1518</v>
      </c>
      <c r="AD106" s="7"/>
      <c r="AE106" s="7"/>
      <c r="AF106" s="7"/>
      <c r="AG106" s="7" t="s">
        <v>270</v>
      </c>
    </row>
    <row r="107" customFormat="false" ht="23.85" hidden="false" customHeight="false" outlineLevel="0" collapsed="false">
      <c r="A107" s="7" t="s">
        <v>1519</v>
      </c>
      <c r="B107" s="7" t="s">
        <v>116</v>
      </c>
      <c r="C107" s="7" t="s">
        <v>985</v>
      </c>
      <c r="D107" s="7" t="s">
        <v>98</v>
      </c>
      <c r="E107" s="7" t="s">
        <v>1520</v>
      </c>
      <c r="F107" s="7" t="s">
        <v>80</v>
      </c>
      <c r="G107" s="7" t="s">
        <v>81</v>
      </c>
      <c r="H107" s="7" t="s">
        <v>714</v>
      </c>
      <c r="I107" s="7" t="s">
        <v>1487</v>
      </c>
      <c r="J107" s="7"/>
      <c r="K107" s="7" t="s">
        <v>85</v>
      </c>
      <c r="L107" s="7" t="s">
        <v>105</v>
      </c>
      <c r="M107" s="7" t="s">
        <v>87</v>
      </c>
      <c r="N107" s="7"/>
      <c r="O107" s="7"/>
      <c r="P107" s="7" t="s">
        <v>106</v>
      </c>
      <c r="Q107" s="7" t="s">
        <v>988</v>
      </c>
      <c r="R107" s="7" t="s">
        <v>1521</v>
      </c>
      <c r="S107" s="7"/>
      <c r="T107" s="7" t="s">
        <v>92</v>
      </c>
      <c r="U107" s="7"/>
      <c r="V107" s="7"/>
      <c r="W107" s="7"/>
      <c r="X107" s="7"/>
      <c r="Y107" s="7"/>
      <c r="Z107" s="7"/>
      <c r="AA107" s="7"/>
      <c r="AB107" s="7"/>
      <c r="AC107" s="8" t="s">
        <v>1522</v>
      </c>
      <c r="AD107" s="7" t="s">
        <v>1523</v>
      </c>
      <c r="AE107" s="7"/>
      <c r="AF107" s="7"/>
      <c r="AG107" s="7" t="s">
        <v>96</v>
      </c>
    </row>
    <row r="108" customFormat="false" ht="23.85" hidden="false" customHeight="false" outlineLevel="0" collapsed="false">
      <c r="A108" s="7" t="s">
        <v>1524</v>
      </c>
      <c r="B108" s="7" t="s">
        <v>116</v>
      </c>
      <c r="C108" s="7" t="s">
        <v>985</v>
      </c>
      <c r="D108" s="7" t="s">
        <v>98</v>
      </c>
      <c r="E108" s="7" t="s">
        <v>1525</v>
      </c>
      <c r="F108" s="7" t="s">
        <v>80</v>
      </c>
      <c r="G108" s="7" t="s">
        <v>81</v>
      </c>
      <c r="H108" s="7" t="s">
        <v>714</v>
      </c>
      <c r="I108" s="7" t="s">
        <v>1487</v>
      </c>
      <c r="J108" s="7" t="s">
        <v>1526</v>
      </c>
      <c r="K108" s="7" t="s">
        <v>85</v>
      </c>
      <c r="L108" s="7" t="s">
        <v>105</v>
      </c>
      <c r="M108" s="7" t="s">
        <v>87</v>
      </c>
      <c r="N108" s="7"/>
      <c r="O108" s="7"/>
      <c r="P108" s="7" t="s">
        <v>106</v>
      </c>
      <c r="Q108" s="7" t="s">
        <v>988</v>
      </c>
      <c r="R108" s="7" t="s">
        <v>1521</v>
      </c>
      <c r="S108" s="7"/>
      <c r="T108" s="7" t="s">
        <v>92</v>
      </c>
      <c r="U108" s="7"/>
      <c r="V108" s="7"/>
      <c r="W108" s="7"/>
      <c r="X108" s="7"/>
      <c r="Y108" s="7"/>
      <c r="Z108" s="7"/>
      <c r="AA108" s="7"/>
      <c r="AB108" s="7"/>
      <c r="AC108" s="8" t="s">
        <v>1527</v>
      </c>
      <c r="AD108" s="7" t="s">
        <v>1523</v>
      </c>
      <c r="AE108" s="7"/>
      <c r="AF108" s="7"/>
      <c r="AG108" s="7" t="s">
        <v>96</v>
      </c>
    </row>
    <row r="109" customFormat="false" ht="23.85" hidden="false" customHeight="false" outlineLevel="0" collapsed="false">
      <c r="A109" s="7" t="s">
        <v>1528</v>
      </c>
      <c r="B109" s="7" t="s">
        <v>116</v>
      </c>
      <c r="C109" s="7" t="s">
        <v>985</v>
      </c>
      <c r="D109" s="7" t="s">
        <v>98</v>
      </c>
      <c r="E109" s="7" t="s">
        <v>1529</v>
      </c>
      <c r="F109" s="7" t="s">
        <v>80</v>
      </c>
      <c r="G109" s="7" t="s">
        <v>81</v>
      </c>
      <c r="H109" s="7" t="s">
        <v>714</v>
      </c>
      <c r="I109" s="7" t="s">
        <v>1487</v>
      </c>
      <c r="J109" s="7"/>
      <c r="K109" s="7" t="s">
        <v>85</v>
      </c>
      <c r="L109" s="7" t="s">
        <v>105</v>
      </c>
      <c r="M109" s="7" t="s">
        <v>87</v>
      </c>
      <c r="N109" s="7"/>
      <c r="O109" s="7"/>
      <c r="P109" s="7" t="s">
        <v>106</v>
      </c>
      <c r="Q109" s="7" t="s">
        <v>988</v>
      </c>
      <c r="R109" s="7" t="s">
        <v>1521</v>
      </c>
      <c r="S109" s="7"/>
      <c r="T109" s="7" t="s">
        <v>92</v>
      </c>
      <c r="U109" s="7"/>
      <c r="V109" s="7"/>
      <c r="W109" s="7"/>
      <c r="X109" s="7"/>
      <c r="Y109" s="7"/>
      <c r="Z109" s="7"/>
      <c r="AA109" s="7"/>
      <c r="AB109" s="7"/>
      <c r="AC109" s="8" t="s">
        <v>1530</v>
      </c>
      <c r="AD109" s="7" t="s">
        <v>1523</v>
      </c>
      <c r="AE109" s="7"/>
      <c r="AF109" s="7"/>
      <c r="AG109" s="7" t="s">
        <v>96</v>
      </c>
    </row>
    <row r="110" customFormat="false" ht="23.85" hidden="false" customHeight="false" outlineLevel="0" collapsed="false">
      <c r="A110" s="7" t="s">
        <v>1531</v>
      </c>
      <c r="B110" s="7" t="s">
        <v>116</v>
      </c>
      <c r="C110" s="7" t="s">
        <v>985</v>
      </c>
      <c r="D110" s="7" t="s">
        <v>98</v>
      </c>
      <c r="E110" s="7" t="s">
        <v>1532</v>
      </c>
      <c r="F110" s="7" t="s">
        <v>80</v>
      </c>
      <c r="G110" s="7" t="s">
        <v>81</v>
      </c>
      <c r="H110" s="7" t="s">
        <v>714</v>
      </c>
      <c r="I110" s="7" t="s">
        <v>1487</v>
      </c>
      <c r="J110" s="7"/>
      <c r="K110" s="7" t="s">
        <v>85</v>
      </c>
      <c r="L110" s="7" t="s">
        <v>105</v>
      </c>
      <c r="M110" s="7" t="s">
        <v>87</v>
      </c>
      <c r="N110" s="7"/>
      <c r="O110" s="7"/>
      <c r="P110" s="7" t="s">
        <v>106</v>
      </c>
      <c r="Q110" s="7" t="s">
        <v>988</v>
      </c>
      <c r="R110" s="7" t="s">
        <v>1521</v>
      </c>
      <c r="S110" s="7"/>
      <c r="T110" s="7" t="s">
        <v>92</v>
      </c>
      <c r="U110" s="7"/>
      <c r="V110" s="7"/>
      <c r="W110" s="7"/>
      <c r="X110" s="7"/>
      <c r="Y110" s="7"/>
      <c r="Z110" s="7"/>
      <c r="AA110" s="7"/>
      <c r="AB110" s="7"/>
      <c r="AC110" s="8" t="s">
        <v>1533</v>
      </c>
      <c r="AD110" s="7" t="s">
        <v>1523</v>
      </c>
      <c r="AE110" s="7"/>
      <c r="AF110" s="7"/>
      <c r="AG110" s="7" t="s">
        <v>96</v>
      </c>
    </row>
    <row r="111" customFormat="false" ht="23.85" hidden="false" customHeight="false" outlineLevel="0" collapsed="false">
      <c r="A111" s="7" t="s">
        <v>1534</v>
      </c>
      <c r="B111" s="7" t="s">
        <v>116</v>
      </c>
      <c r="C111" s="7" t="s">
        <v>985</v>
      </c>
      <c r="D111" s="7" t="s">
        <v>98</v>
      </c>
      <c r="E111" s="7" t="s">
        <v>1535</v>
      </c>
      <c r="F111" s="7" t="s">
        <v>100</v>
      </c>
      <c r="G111" s="7" t="s">
        <v>81</v>
      </c>
      <c r="H111" s="7" t="s">
        <v>714</v>
      </c>
      <c r="I111" s="7" t="s">
        <v>1487</v>
      </c>
      <c r="J111" s="7" t="s">
        <v>1526</v>
      </c>
      <c r="K111" s="7" t="s">
        <v>85</v>
      </c>
      <c r="L111" s="7" t="s">
        <v>105</v>
      </c>
      <c r="M111" s="7" t="s">
        <v>87</v>
      </c>
      <c r="N111" s="7"/>
      <c r="O111" s="7"/>
      <c r="P111" s="7" t="s">
        <v>106</v>
      </c>
      <c r="Q111" s="7" t="s">
        <v>1276</v>
      </c>
      <c r="R111" s="7" t="s">
        <v>1536</v>
      </c>
      <c r="S111" s="7"/>
      <c r="T111" s="7" t="s">
        <v>92</v>
      </c>
      <c r="U111" s="7"/>
      <c r="V111" s="7"/>
      <c r="W111" s="7"/>
      <c r="X111" s="7"/>
      <c r="Y111" s="7"/>
      <c r="Z111" s="7"/>
      <c r="AA111" s="7"/>
      <c r="AB111" s="7"/>
      <c r="AC111" s="8" t="s">
        <v>1537</v>
      </c>
      <c r="AD111" s="7" t="s">
        <v>1538</v>
      </c>
      <c r="AE111" s="7"/>
      <c r="AF111" s="7"/>
      <c r="AG111" s="7" t="s">
        <v>96</v>
      </c>
    </row>
    <row r="112" customFormat="false" ht="23.85" hidden="false" customHeight="false" outlineLevel="0" collapsed="false">
      <c r="A112" s="7" t="s">
        <v>1539</v>
      </c>
      <c r="B112" s="7" t="s">
        <v>116</v>
      </c>
      <c r="C112" s="7" t="s">
        <v>985</v>
      </c>
      <c r="D112" s="7" t="s">
        <v>98</v>
      </c>
      <c r="E112" s="7" t="s">
        <v>1540</v>
      </c>
      <c r="F112" s="7" t="s">
        <v>80</v>
      </c>
      <c r="G112" s="7" t="s">
        <v>81</v>
      </c>
      <c r="H112" s="7" t="s">
        <v>714</v>
      </c>
      <c r="I112" s="7" t="s">
        <v>1487</v>
      </c>
      <c r="J112" s="7" t="s">
        <v>1541</v>
      </c>
      <c r="K112" s="7" t="s">
        <v>85</v>
      </c>
      <c r="L112" s="7" t="s">
        <v>105</v>
      </c>
      <c r="M112" s="7" t="s">
        <v>87</v>
      </c>
      <c r="N112" s="7"/>
      <c r="O112" s="7"/>
      <c r="P112" s="7" t="s">
        <v>106</v>
      </c>
      <c r="Q112" s="7" t="s">
        <v>988</v>
      </c>
      <c r="R112" s="7" t="s">
        <v>1542</v>
      </c>
      <c r="S112" s="7"/>
      <c r="T112" s="7" t="s">
        <v>92</v>
      </c>
      <c r="U112" s="7"/>
      <c r="V112" s="7"/>
      <c r="W112" s="7"/>
      <c r="X112" s="7"/>
      <c r="Y112" s="7"/>
      <c r="Z112" s="7"/>
      <c r="AA112" s="7"/>
      <c r="AB112" s="7"/>
      <c r="AC112" s="8" t="s">
        <v>1543</v>
      </c>
      <c r="AD112" s="7"/>
      <c r="AE112" s="7"/>
      <c r="AF112" s="7"/>
      <c r="AG112" s="7" t="s">
        <v>96</v>
      </c>
    </row>
    <row r="113" customFormat="false" ht="23.85" hidden="false" customHeight="false" outlineLevel="0" collapsed="false">
      <c r="A113" s="7" t="s">
        <v>1544</v>
      </c>
      <c r="B113" s="7" t="s">
        <v>116</v>
      </c>
      <c r="C113" s="7" t="s">
        <v>985</v>
      </c>
      <c r="D113" s="7" t="s">
        <v>98</v>
      </c>
      <c r="E113" s="7" t="s">
        <v>1545</v>
      </c>
      <c r="F113" s="7" t="s">
        <v>80</v>
      </c>
      <c r="G113" s="7" t="s">
        <v>81</v>
      </c>
      <c r="H113" s="7" t="s">
        <v>714</v>
      </c>
      <c r="I113" s="7" t="s">
        <v>1487</v>
      </c>
      <c r="J113" s="7" t="s">
        <v>1546</v>
      </c>
      <c r="K113" s="7" t="s">
        <v>85</v>
      </c>
      <c r="L113" s="7" t="s">
        <v>105</v>
      </c>
      <c r="M113" s="7" t="s">
        <v>87</v>
      </c>
      <c r="N113" s="7"/>
      <c r="O113" s="7"/>
      <c r="P113" s="7" t="s">
        <v>106</v>
      </c>
      <c r="Q113" s="7" t="s">
        <v>988</v>
      </c>
      <c r="R113" s="7" t="s">
        <v>1547</v>
      </c>
      <c r="S113" s="7"/>
      <c r="T113" s="7" t="s">
        <v>92</v>
      </c>
      <c r="U113" s="7"/>
      <c r="V113" s="7"/>
      <c r="W113" s="7"/>
      <c r="X113" s="7"/>
      <c r="Y113" s="7"/>
      <c r="Z113" s="7"/>
      <c r="AA113" s="7"/>
      <c r="AB113" s="7"/>
      <c r="AC113" s="8" t="s">
        <v>1548</v>
      </c>
      <c r="AD113" s="7" t="s">
        <v>1549</v>
      </c>
      <c r="AE113" s="7" t="s">
        <v>1550</v>
      </c>
      <c r="AF113" s="7"/>
      <c r="AG113" s="7" t="s">
        <v>1551</v>
      </c>
    </row>
    <row r="114" customFormat="false" ht="35.05" hidden="false" customHeight="false" outlineLevel="0" collapsed="false">
      <c r="A114" s="7" t="s">
        <v>1552</v>
      </c>
      <c r="B114" s="7" t="s">
        <v>116</v>
      </c>
      <c r="C114" s="7" t="s">
        <v>985</v>
      </c>
      <c r="D114" s="7" t="s">
        <v>78</v>
      </c>
      <c r="E114" s="7" t="s">
        <v>1553</v>
      </c>
      <c r="F114" s="7" t="s">
        <v>80</v>
      </c>
      <c r="G114" s="7" t="s">
        <v>81</v>
      </c>
      <c r="H114" s="7" t="s">
        <v>714</v>
      </c>
      <c r="I114" s="7" t="s">
        <v>1487</v>
      </c>
      <c r="J114" s="7" t="s">
        <v>1554</v>
      </c>
      <c r="K114" s="7" t="s">
        <v>85</v>
      </c>
      <c r="L114" s="7" t="s">
        <v>105</v>
      </c>
      <c r="M114" s="7" t="s">
        <v>87</v>
      </c>
      <c r="N114" s="7" t="s">
        <v>1555</v>
      </c>
      <c r="O114" s="7"/>
      <c r="P114" s="7" t="s">
        <v>88</v>
      </c>
      <c r="Q114" s="7" t="s">
        <v>988</v>
      </c>
      <c r="R114" s="7" t="s">
        <v>1556</v>
      </c>
      <c r="S114" s="7" t="s">
        <v>1557</v>
      </c>
      <c r="T114" s="7" t="s">
        <v>109</v>
      </c>
      <c r="U114" s="7" t="s">
        <v>1558</v>
      </c>
      <c r="V114" s="8" t="s">
        <v>1559</v>
      </c>
      <c r="W114" s="7"/>
      <c r="X114" s="7"/>
      <c r="Y114" s="7" t="s">
        <v>1560</v>
      </c>
      <c r="Z114" s="7"/>
      <c r="AA114" s="7"/>
      <c r="AB114" s="7"/>
      <c r="AC114" s="8" t="s">
        <v>1559</v>
      </c>
      <c r="AD114" s="7"/>
      <c r="AE114" s="7" t="s">
        <v>1561</v>
      </c>
      <c r="AF114" s="7"/>
      <c r="AG114" s="7" t="s">
        <v>1562</v>
      </c>
    </row>
    <row r="115" customFormat="false" ht="46.25" hidden="false" customHeight="false" outlineLevel="0" collapsed="false">
      <c r="A115" s="7" t="s">
        <v>1563</v>
      </c>
      <c r="B115" s="7" t="s">
        <v>116</v>
      </c>
      <c r="C115" s="7" t="s">
        <v>985</v>
      </c>
      <c r="D115" s="7" t="s">
        <v>78</v>
      </c>
      <c r="E115" s="7" t="s">
        <v>1564</v>
      </c>
      <c r="F115" s="7" t="s">
        <v>257</v>
      </c>
      <c r="G115" s="7" t="s">
        <v>81</v>
      </c>
      <c r="H115" s="7" t="s">
        <v>714</v>
      </c>
      <c r="I115" s="7" t="s">
        <v>1487</v>
      </c>
      <c r="J115" s="7" t="s">
        <v>1565</v>
      </c>
      <c r="K115" s="7" t="s">
        <v>85</v>
      </c>
      <c r="L115" s="7" t="s">
        <v>105</v>
      </c>
      <c r="M115" s="7" t="s">
        <v>87</v>
      </c>
      <c r="N115" s="7" t="s">
        <v>1566</v>
      </c>
      <c r="O115" s="7"/>
      <c r="P115" s="7" t="s">
        <v>88</v>
      </c>
      <c r="Q115" s="7" t="s">
        <v>988</v>
      </c>
      <c r="R115" s="7" t="s">
        <v>1567</v>
      </c>
      <c r="S115" s="7"/>
      <c r="T115" s="7" t="s">
        <v>109</v>
      </c>
      <c r="U115" s="7" t="s">
        <v>1568</v>
      </c>
      <c r="V115" s="8" t="s">
        <v>1569</v>
      </c>
      <c r="W115" s="7"/>
      <c r="X115" s="7"/>
      <c r="Y115" s="7"/>
      <c r="Z115" s="7"/>
      <c r="AA115" s="7"/>
      <c r="AB115" s="7"/>
      <c r="AC115" s="8" t="s">
        <v>1569</v>
      </c>
      <c r="AD115" s="7"/>
      <c r="AE115" s="7" t="s">
        <v>1570</v>
      </c>
      <c r="AF115" s="7"/>
      <c r="AG115" s="7" t="s">
        <v>1571</v>
      </c>
    </row>
    <row r="116" customFormat="false" ht="57.45" hidden="false" customHeight="false" outlineLevel="0" collapsed="false">
      <c r="A116" s="7" t="s">
        <v>1572</v>
      </c>
      <c r="B116" s="7" t="s">
        <v>116</v>
      </c>
      <c r="C116" s="7" t="s">
        <v>985</v>
      </c>
      <c r="D116" s="7" t="s">
        <v>78</v>
      </c>
      <c r="E116" s="7" t="s">
        <v>1573</v>
      </c>
      <c r="F116" s="7" t="s">
        <v>80</v>
      </c>
      <c r="G116" s="7" t="s">
        <v>81</v>
      </c>
      <c r="H116" s="7" t="s">
        <v>714</v>
      </c>
      <c r="I116" s="7" t="s">
        <v>1487</v>
      </c>
      <c r="J116" s="7" t="s">
        <v>1526</v>
      </c>
      <c r="K116" s="7" t="s">
        <v>85</v>
      </c>
      <c r="L116" s="7" t="s">
        <v>105</v>
      </c>
      <c r="M116" s="7" t="s">
        <v>87</v>
      </c>
      <c r="N116" s="7"/>
      <c r="O116" s="7"/>
      <c r="P116" s="7" t="s">
        <v>88</v>
      </c>
      <c r="Q116" s="7" t="s">
        <v>988</v>
      </c>
      <c r="R116" s="7" t="s">
        <v>1574</v>
      </c>
      <c r="S116" s="7" t="s">
        <v>1557</v>
      </c>
      <c r="T116" s="7" t="s">
        <v>92</v>
      </c>
      <c r="U116" s="7"/>
      <c r="V116" s="7"/>
      <c r="W116" s="7"/>
      <c r="X116" s="7"/>
      <c r="Y116" s="7"/>
      <c r="Z116" s="7"/>
      <c r="AA116" s="7"/>
      <c r="AB116" s="7"/>
      <c r="AC116" s="8" t="s">
        <v>1518</v>
      </c>
      <c r="AD116" s="7" t="s">
        <v>1575</v>
      </c>
      <c r="AE116" s="7"/>
      <c r="AF116" s="7"/>
      <c r="AG116" s="7" t="s">
        <v>96</v>
      </c>
    </row>
    <row r="117" customFormat="false" ht="23.85" hidden="false" customHeight="false" outlineLevel="0" collapsed="false">
      <c r="A117" s="7" t="s">
        <v>1576</v>
      </c>
      <c r="B117" s="7" t="s">
        <v>116</v>
      </c>
      <c r="C117" s="7" t="s">
        <v>985</v>
      </c>
      <c r="D117" s="7" t="s">
        <v>98</v>
      </c>
      <c r="E117" s="7" t="s">
        <v>1577</v>
      </c>
      <c r="F117" s="7" t="s">
        <v>80</v>
      </c>
      <c r="G117" s="7" t="s">
        <v>81</v>
      </c>
      <c r="H117" s="7" t="s">
        <v>714</v>
      </c>
      <c r="I117" s="7" t="s">
        <v>1578</v>
      </c>
      <c r="J117" s="7" t="s">
        <v>1579</v>
      </c>
      <c r="K117" s="7" t="s">
        <v>85</v>
      </c>
      <c r="L117" s="7" t="s">
        <v>105</v>
      </c>
      <c r="M117" s="7" t="s">
        <v>87</v>
      </c>
      <c r="N117" s="7"/>
      <c r="O117" s="7"/>
      <c r="P117" s="7" t="s">
        <v>106</v>
      </c>
      <c r="Q117" s="7" t="s">
        <v>988</v>
      </c>
      <c r="R117" s="7" t="s">
        <v>1580</v>
      </c>
      <c r="S117" s="7"/>
      <c r="T117" s="7" t="s">
        <v>109</v>
      </c>
      <c r="U117" s="7" t="s">
        <v>1581</v>
      </c>
      <c r="V117" s="8" t="s">
        <v>1582</v>
      </c>
      <c r="W117" s="7"/>
      <c r="X117" s="7"/>
      <c r="Y117" s="7"/>
      <c r="Z117" s="7"/>
      <c r="AA117" s="7"/>
      <c r="AB117" s="7"/>
      <c r="AC117" s="8" t="s">
        <v>1582</v>
      </c>
      <c r="AD117" s="7"/>
      <c r="AE117" s="7"/>
      <c r="AF117" s="7"/>
      <c r="AG117" s="7" t="s">
        <v>1583</v>
      </c>
    </row>
    <row r="118" customFormat="false" ht="91" hidden="false" customHeight="false" outlineLevel="0" collapsed="false">
      <c r="A118" s="7" t="s">
        <v>1584</v>
      </c>
      <c r="B118" s="7" t="s">
        <v>116</v>
      </c>
      <c r="C118" s="7" t="s">
        <v>985</v>
      </c>
      <c r="D118" s="7" t="s">
        <v>98</v>
      </c>
      <c r="E118" s="7" t="s">
        <v>1585</v>
      </c>
      <c r="F118" s="7" t="s">
        <v>80</v>
      </c>
      <c r="G118" s="7" t="s">
        <v>81</v>
      </c>
      <c r="H118" s="7" t="s">
        <v>714</v>
      </c>
      <c r="I118" s="7" t="s">
        <v>1578</v>
      </c>
      <c r="J118" s="7" t="s">
        <v>1586</v>
      </c>
      <c r="K118" s="7" t="s">
        <v>85</v>
      </c>
      <c r="L118" s="7" t="s">
        <v>1587</v>
      </c>
      <c r="M118" s="7" t="s">
        <v>87</v>
      </c>
      <c r="N118" s="7"/>
      <c r="O118" s="7"/>
      <c r="P118" s="7" t="s">
        <v>106</v>
      </c>
      <c r="Q118" s="7" t="s">
        <v>988</v>
      </c>
      <c r="R118" s="7" t="s">
        <v>1588</v>
      </c>
      <c r="S118" s="7" t="s">
        <v>1589</v>
      </c>
      <c r="T118" s="7" t="s">
        <v>1014</v>
      </c>
      <c r="U118" s="7"/>
      <c r="V118" s="7"/>
      <c r="W118" s="7"/>
      <c r="X118" s="7"/>
      <c r="Y118" s="7" t="s">
        <v>1590</v>
      </c>
      <c r="Z118" s="7"/>
      <c r="AA118" s="8" t="s">
        <v>1591</v>
      </c>
      <c r="AB118" s="7"/>
      <c r="AC118" s="8" t="s">
        <v>1592</v>
      </c>
      <c r="AD118" s="7"/>
      <c r="AE118" s="7" t="s">
        <v>1593</v>
      </c>
      <c r="AF118" s="7"/>
      <c r="AG118" s="7" t="s">
        <v>1594</v>
      </c>
    </row>
    <row r="119" customFormat="false" ht="46.25" hidden="false" customHeight="false" outlineLevel="0" collapsed="false">
      <c r="A119" s="7" t="s">
        <v>1595</v>
      </c>
      <c r="B119" s="7" t="s">
        <v>116</v>
      </c>
      <c r="C119" s="7" t="s">
        <v>985</v>
      </c>
      <c r="D119" s="7" t="s">
        <v>78</v>
      </c>
      <c r="E119" s="7" t="s">
        <v>1596</v>
      </c>
      <c r="F119" s="7" t="s">
        <v>80</v>
      </c>
      <c r="G119" s="7" t="s">
        <v>81</v>
      </c>
      <c r="H119" s="7" t="s">
        <v>714</v>
      </c>
      <c r="I119" s="7" t="s">
        <v>1578</v>
      </c>
      <c r="J119" s="7" t="s">
        <v>1597</v>
      </c>
      <c r="K119" s="7" t="s">
        <v>85</v>
      </c>
      <c r="L119" s="7" t="s">
        <v>105</v>
      </c>
      <c r="M119" s="7" t="s">
        <v>87</v>
      </c>
      <c r="N119" s="7" t="s">
        <v>1598</v>
      </c>
      <c r="O119" s="7"/>
      <c r="P119" s="7" t="s">
        <v>88</v>
      </c>
      <c r="Q119" s="7" t="s">
        <v>988</v>
      </c>
      <c r="R119" s="7" t="s">
        <v>1599</v>
      </c>
      <c r="S119" s="7"/>
      <c r="T119" s="7" t="s">
        <v>1014</v>
      </c>
      <c r="U119" s="7"/>
      <c r="V119" s="7"/>
      <c r="W119" s="8" t="s">
        <v>1600</v>
      </c>
      <c r="X119" s="7"/>
      <c r="Y119" s="7" t="s">
        <v>1601</v>
      </c>
      <c r="Z119" s="7"/>
      <c r="AA119" s="7"/>
      <c r="AB119" s="7"/>
      <c r="AC119" s="8" t="s">
        <v>1602</v>
      </c>
      <c r="AD119" s="7"/>
      <c r="AE119" s="7" t="s">
        <v>1603</v>
      </c>
      <c r="AF119" s="7"/>
      <c r="AG119" s="7" t="s">
        <v>1604</v>
      </c>
    </row>
    <row r="120" customFormat="false" ht="68.65" hidden="false" customHeight="false" outlineLevel="0" collapsed="false">
      <c r="A120" s="7" t="s">
        <v>1605</v>
      </c>
      <c r="B120" s="7" t="s">
        <v>116</v>
      </c>
      <c r="C120" s="7" t="s">
        <v>985</v>
      </c>
      <c r="D120" s="7" t="s">
        <v>78</v>
      </c>
      <c r="E120" s="7" t="s">
        <v>1606</v>
      </c>
      <c r="F120" s="7" t="s">
        <v>80</v>
      </c>
      <c r="G120" s="7" t="s">
        <v>81</v>
      </c>
      <c r="H120" s="7" t="s">
        <v>714</v>
      </c>
      <c r="I120" s="7" t="s">
        <v>1578</v>
      </c>
      <c r="J120" s="7" t="s">
        <v>1607</v>
      </c>
      <c r="K120" s="7" t="s">
        <v>85</v>
      </c>
      <c r="L120" s="7" t="s">
        <v>105</v>
      </c>
      <c r="M120" s="7" t="s">
        <v>1608</v>
      </c>
      <c r="N120" s="7"/>
      <c r="O120" s="7"/>
      <c r="P120" s="7" t="s">
        <v>88</v>
      </c>
      <c r="Q120" s="7" t="s">
        <v>1609</v>
      </c>
      <c r="R120" s="7" t="s">
        <v>1610</v>
      </c>
      <c r="S120" s="7"/>
      <c r="T120" s="7" t="s">
        <v>109</v>
      </c>
      <c r="U120" s="7" t="s">
        <v>1611</v>
      </c>
      <c r="V120" s="8" t="s">
        <v>1612</v>
      </c>
      <c r="W120" s="7"/>
      <c r="X120" s="7"/>
      <c r="Y120" s="7"/>
      <c r="Z120" s="7"/>
      <c r="AA120" s="7"/>
      <c r="AB120" s="7"/>
      <c r="AC120" s="8" t="s">
        <v>1612</v>
      </c>
      <c r="AD120" s="7"/>
      <c r="AE120" s="7" t="s">
        <v>1613</v>
      </c>
      <c r="AF120" s="7"/>
      <c r="AG120" s="7" t="s">
        <v>1614</v>
      </c>
    </row>
    <row r="121" customFormat="false" ht="35.05" hidden="false" customHeight="false" outlineLevel="0" collapsed="false">
      <c r="A121" s="7" t="s">
        <v>1615</v>
      </c>
      <c r="B121" s="7" t="s">
        <v>811</v>
      </c>
      <c r="C121" s="7" t="s">
        <v>985</v>
      </c>
      <c r="D121" s="7" t="s">
        <v>98</v>
      </c>
      <c r="E121" s="7" t="s">
        <v>1616</v>
      </c>
      <c r="F121" s="7" t="s">
        <v>80</v>
      </c>
      <c r="G121" s="7" t="s">
        <v>81</v>
      </c>
      <c r="H121" s="7" t="s">
        <v>714</v>
      </c>
      <c r="I121" s="7" t="s">
        <v>1578</v>
      </c>
      <c r="J121" s="7" t="s">
        <v>1617</v>
      </c>
      <c r="K121" s="7" t="s">
        <v>85</v>
      </c>
      <c r="L121" s="7" t="s">
        <v>1618</v>
      </c>
      <c r="M121" s="7" t="s">
        <v>87</v>
      </c>
      <c r="N121" s="7" t="s">
        <v>1619</v>
      </c>
      <c r="O121" s="7"/>
      <c r="P121" s="7" t="s">
        <v>106</v>
      </c>
      <c r="Q121" s="7" t="s">
        <v>988</v>
      </c>
      <c r="R121" s="7" t="s">
        <v>1620</v>
      </c>
      <c r="S121" s="7"/>
      <c r="T121" s="7" t="s">
        <v>109</v>
      </c>
      <c r="U121" s="7" t="s">
        <v>1621</v>
      </c>
      <c r="V121" s="8" t="s">
        <v>1622</v>
      </c>
      <c r="W121" s="7"/>
      <c r="X121" s="7"/>
      <c r="Y121" s="7"/>
      <c r="Z121" s="7"/>
      <c r="AA121" s="7"/>
      <c r="AB121" s="7"/>
      <c r="AC121" s="8" t="s">
        <v>1622</v>
      </c>
      <c r="AD121" s="7"/>
      <c r="AE121" s="7" t="s">
        <v>1623</v>
      </c>
      <c r="AF121" s="7"/>
      <c r="AG121" s="7" t="s">
        <v>1624</v>
      </c>
    </row>
    <row r="122" customFormat="false" ht="35.05" hidden="false" customHeight="false" outlineLevel="0" collapsed="false">
      <c r="A122" s="7" t="s">
        <v>1625</v>
      </c>
      <c r="B122" s="7" t="s">
        <v>76</v>
      </c>
      <c r="C122" s="7" t="s">
        <v>985</v>
      </c>
      <c r="D122" s="7" t="s">
        <v>78</v>
      </c>
      <c r="E122" s="7" t="s">
        <v>1626</v>
      </c>
      <c r="F122" s="7" t="s">
        <v>1213</v>
      </c>
      <c r="G122" s="7" t="s">
        <v>81</v>
      </c>
      <c r="H122" s="7" t="s">
        <v>289</v>
      </c>
      <c r="I122" s="7" t="s">
        <v>1627</v>
      </c>
      <c r="J122" s="7"/>
      <c r="K122" s="7" t="s">
        <v>291</v>
      </c>
      <c r="L122" s="7" t="s">
        <v>1628</v>
      </c>
      <c r="M122" s="7" t="s">
        <v>1629</v>
      </c>
      <c r="N122" s="7" t="s">
        <v>1630</v>
      </c>
      <c r="O122" s="7"/>
      <c r="P122" s="7" t="s">
        <v>1631</v>
      </c>
      <c r="Q122" s="7" t="s">
        <v>1632</v>
      </c>
      <c r="R122" s="7" t="s">
        <v>1633</v>
      </c>
      <c r="S122" s="7" t="s">
        <v>1634</v>
      </c>
      <c r="T122" s="7" t="s">
        <v>109</v>
      </c>
      <c r="U122" s="7" t="s">
        <v>1635</v>
      </c>
      <c r="V122" s="8" t="s">
        <v>1636</v>
      </c>
      <c r="W122" s="7"/>
      <c r="X122" s="7"/>
      <c r="Y122" s="7"/>
      <c r="Z122" s="7"/>
      <c r="AA122" s="7"/>
      <c r="AB122" s="7" t="s">
        <v>1637</v>
      </c>
      <c r="AC122" s="8" t="s">
        <v>1636</v>
      </c>
      <c r="AD122" s="7"/>
      <c r="AE122" s="7" t="s">
        <v>1638</v>
      </c>
      <c r="AF122" s="7"/>
      <c r="AG122" s="7" t="s">
        <v>1639</v>
      </c>
    </row>
    <row r="123" customFormat="false" ht="91" hidden="false" customHeight="false" outlineLevel="0" collapsed="false">
      <c r="A123" s="7" t="s">
        <v>1640</v>
      </c>
      <c r="B123" s="7" t="s">
        <v>116</v>
      </c>
      <c r="C123" s="7" t="s">
        <v>985</v>
      </c>
      <c r="D123" s="7" t="s">
        <v>98</v>
      </c>
      <c r="E123" s="7" t="s">
        <v>1641</v>
      </c>
      <c r="F123" s="7" t="s">
        <v>80</v>
      </c>
      <c r="G123" s="7" t="s">
        <v>81</v>
      </c>
      <c r="H123" s="7" t="s">
        <v>289</v>
      </c>
      <c r="I123" s="7" t="s">
        <v>1627</v>
      </c>
      <c r="J123" s="7" t="s">
        <v>1642</v>
      </c>
      <c r="K123" s="7" t="s">
        <v>85</v>
      </c>
      <c r="L123" s="7" t="s">
        <v>1643</v>
      </c>
      <c r="M123" s="7" t="s">
        <v>87</v>
      </c>
      <c r="N123" s="7"/>
      <c r="O123" s="7"/>
      <c r="P123" s="7" t="s">
        <v>106</v>
      </c>
      <c r="Q123" s="7" t="s">
        <v>988</v>
      </c>
      <c r="R123" s="7" t="s">
        <v>1644</v>
      </c>
      <c r="S123" s="7"/>
      <c r="T123" s="7" t="s">
        <v>189</v>
      </c>
      <c r="U123" s="7"/>
      <c r="V123" s="7"/>
      <c r="W123" s="8" t="s">
        <v>1645</v>
      </c>
      <c r="X123" s="7"/>
      <c r="Y123" s="7"/>
      <c r="Z123" s="7"/>
      <c r="AA123" s="7"/>
      <c r="AB123" s="7"/>
      <c r="AC123" s="8" t="s">
        <v>1646</v>
      </c>
      <c r="AD123" s="7"/>
      <c r="AE123" s="7" t="s">
        <v>1647</v>
      </c>
      <c r="AF123" s="7"/>
      <c r="AG123" s="7" t="s">
        <v>1648</v>
      </c>
    </row>
    <row r="124" customFormat="false" ht="23.85" hidden="false" customHeight="false" outlineLevel="0" collapsed="false">
      <c r="A124" s="7" t="s">
        <v>1649</v>
      </c>
      <c r="B124" s="7" t="s">
        <v>116</v>
      </c>
      <c r="C124" s="7" t="s">
        <v>985</v>
      </c>
      <c r="D124" s="7" t="s">
        <v>78</v>
      </c>
      <c r="E124" s="7" t="s">
        <v>1650</v>
      </c>
      <c r="F124" s="7" t="s">
        <v>80</v>
      </c>
      <c r="G124" s="7" t="s">
        <v>81</v>
      </c>
      <c r="H124" s="7" t="s">
        <v>289</v>
      </c>
      <c r="I124" s="7" t="s">
        <v>1627</v>
      </c>
      <c r="J124" s="7"/>
      <c r="K124" s="7" t="s">
        <v>85</v>
      </c>
      <c r="L124" s="7" t="s">
        <v>1651</v>
      </c>
      <c r="M124" s="7" t="s">
        <v>87</v>
      </c>
      <c r="N124" s="7"/>
      <c r="O124" s="7"/>
      <c r="P124" s="7" t="s">
        <v>88</v>
      </c>
      <c r="Q124" s="7" t="s">
        <v>988</v>
      </c>
      <c r="R124" s="7" t="s">
        <v>1652</v>
      </c>
      <c r="S124" s="7"/>
      <c r="T124" s="7" t="s">
        <v>92</v>
      </c>
      <c r="U124" s="7"/>
      <c r="V124" s="7"/>
      <c r="W124" s="7"/>
      <c r="X124" s="7"/>
      <c r="Y124" s="7"/>
      <c r="Z124" s="7"/>
      <c r="AA124" s="7"/>
      <c r="AB124" s="7"/>
      <c r="AC124" s="8" t="s">
        <v>1646</v>
      </c>
      <c r="AD124" s="7"/>
      <c r="AE124" s="7"/>
      <c r="AF124" s="7"/>
      <c r="AG124" s="7" t="s">
        <v>1653</v>
      </c>
    </row>
    <row r="125" customFormat="false" ht="35.05" hidden="false" customHeight="false" outlineLevel="0" collapsed="false">
      <c r="A125" s="7" t="s">
        <v>287</v>
      </c>
      <c r="B125" s="7" t="s">
        <v>76</v>
      </c>
      <c r="C125" s="7" t="s">
        <v>141</v>
      </c>
      <c r="D125" s="7" t="s">
        <v>78</v>
      </c>
      <c r="E125" s="7" t="s">
        <v>288</v>
      </c>
      <c r="F125" s="7" t="s">
        <v>80</v>
      </c>
      <c r="G125" s="7" t="s">
        <v>81</v>
      </c>
      <c r="H125" s="7" t="s">
        <v>289</v>
      </c>
      <c r="I125" s="7" t="s">
        <v>290</v>
      </c>
      <c r="J125" s="7"/>
      <c r="K125" s="7" t="s">
        <v>291</v>
      </c>
      <c r="L125" s="7" t="s">
        <v>292</v>
      </c>
      <c r="M125" s="7" t="s">
        <v>293</v>
      </c>
      <c r="N125" s="7"/>
      <c r="O125" s="7" t="s">
        <v>294</v>
      </c>
      <c r="P125" s="7" t="s">
        <v>295</v>
      </c>
      <c r="Q125" s="7" t="s">
        <v>296</v>
      </c>
      <c r="R125" s="7" t="s">
        <v>297</v>
      </c>
      <c r="S125" s="7" t="s">
        <v>298</v>
      </c>
      <c r="T125" s="7" t="s">
        <v>92</v>
      </c>
      <c r="U125" s="7" t="s">
        <v>299</v>
      </c>
      <c r="V125" s="7"/>
      <c r="W125" s="7"/>
      <c r="X125" s="7"/>
      <c r="Y125" s="7"/>
      <c r="Z125" s="7"/>
      <c r="AA125" s="7"/>
      <c r="AB125" s="7" t="s">
        <v>300</v>
      </c>
      <c r="AC125" s="8" t="s">
        <v>301</v>
      </c>
      <c r="AD125" s="7"/>
      <c r="AE125" s="7" t="s">
        <v>302</v>
      </c>
      <c r="AF125" s="7"/>
      <c r="AG125" s="7" t="s">
        <v>303</v>
      </c>
    </row>
    <row r="126" customFormat="false" ht="46.25" hidden="false" customHeight="false" outlineLevel="0" collapsed="false">
      <c r="A126" s="7" t="s">
        <v>1654</v>
      </c>
      <c r="B126" s="7" t="s">
        <v>811</v>
      </c>
      <c r="C126" s="7" t="s">
        <v>985</v>
      </c>
      <c r="D126" s="7" t="s">
        <v>78</v>
      </c>
      <c r="E126" s="7" t="s">
        <v>1655</v>
      </c>
      <c r="F126" s="7" t="s">
        <v>118</v>
      </c>
      <c r="G126" s="7" t="s">
        <v>81</v>
      </c>
      <c r="H126" s="7" t="s">
        <v>289</v>
      </c>
      <c r="I126" s="7" t="s">
        <v>290</v>
      </c>
      <c r="J126" s="7"/>
      <c r="K126" s="7" t="s">
        <v>1656</v>
      </c>
      <c r="L126" s="7" t="s">
        <v>1657</v>
      </c>
      <c r="M126" s="7" t="s">
        <v>122</v>
      </c>
      <c r="N126" s="7"/>
      <c r="O126" s="7"/>
      <c r="P126" s="7" t="s">
        <v>1658</v>
      </c>
      <c r="Q126" s="7" t="s">
        <v>1659</v>
      </c>
      <c r="R126" s="7" t="s">
        <v>1660</v>
      </c>
      <c r="S126" s="7" t="s">
        <v>1661</v>
      </c>
      <c r="T126" s="7" t="s">
        <v>92</v>
      </c>
      <c r="U126" s="7"/>
      <c r="V126" s="7"/>
      <c r="W126" s="7"/>
      <c r="X126" s="7"/>
      <c r="Y126" s="7"/>
      <c r="Z126" s="7"/>
      <c r="AA126" s="7"/>
      <c r="AB126" s="7" t="s">
        <v>1662</v>
      </c>
      <c r="AC126" s="8" t="s">
        <v>1663</v>
      </c>
      <c r="AD126" s="7"/>
      <c r="AE126" s="7"/>
      <c r="AF126" s="7"/>
      <c r="AG126" s="7" t="s">
        <v>1664</v>
      </c>
    </row>
    <row r="127" customFormat="false" ht="23.85" hidden="false" customHeight="false" outlineLevel="0" collapsed="false">
      <c r="A127" s="7" t="s">
        <v>1665</v>
      </c>
      <c r="B127" s="7" t="s">
        <v>116</v>
      </c>
      <c r="C127" s="7" t="s">
        <v>985</v>
      </c>
      <c r="D127" s="7" t="s">
        <v>98</v>
      </c>
      <c r="E127" s="7" t="s">
        <v>1666</v>
      </c>
      <c r="F127" s="7" t="s">
        <v>80</v>
      </c>
      <c r="G127" s="7" t="s">
        <v>81</v>
      </c>
      <c r="H127" s="7" t="s">
        <v>289</v>
      </c>
      <c r="I127" s="7" t="s">
        <v>1667</v>
      </c>
      <c r="J127" s="7" t="s">
        <v>1668</v>
      </c>
      <c r="K127" s="7" t="s">
        <v>85</v>
      </c>
      <c r="L127" s="7" t="s">
        <v>105</v>
      </c>
      <c r="M127" s="7" t="s">
        <v>87</v>
      </c>
      <c r="N127" s="7" t="s">
        <v>1669</v>
      </c>
      <c r="O127" s="7"/>
      <c r="P127" s="7" t="s">
        <v>106</v>
      </c>
      <c r="Q127" s="7" t="s">
        <v>988</v>
      </c>
      <c r="R127" s="7" t="s">
        <v>1670</v>
      </c>
      <c r="S127" s="7"/>
      <c r="T127" s="7" t="s">
        <v>1014</v>
      </c>
      <c r="U127" s="7"/>
      <c r="V127" s="7"/>
      <c r="W127" s="7"/>
      <c r="X127" s="7"/>
      <c r="Y127" s="7" t="s">
        <v>1671</v>
      </c>
      <c r="Z127" s="7"/>
      <c r="AA127" s="7"/>
      <c r="AB127" s="7"/>
      <c r="AC127" s="8" t="s">
        <v>1672</v>
      </c>
      <c r="AD127" s="7"/>
      <c r="AE127" s="7"/>
      <c r="AF127" s="7"/>
      <c r="AG127" s="7" t="s">
        <v>1673</v>
      </c>
    </row>
    <row r="128" customFormat="false" ht="46.25" hidden="false" customHeight="false" outlineLevel="0" collapsed="false">
      <c r="A128" s="7" t="s">
        <v>724</v>
      </c>
      <c r="B128" s="7" t="s">
        <v>116</v>
      </c>
      <c r="C128" s="7" t="s">
        <v>141</v>
      </c>
      <c r="D128" s="7" t="s">
        <v>98</v>
      </c>
      <c r="E128" s="7" t="s">
        <v>725</v>
      </c>
      <c r="F128" s="7" t="s">
        <v>257</v>
      </c>
      <c r="G128" s="7" t="s">
        <v>81</v>
      </c>
      <c r="H128" s="7" t="s">
        <v>289</v>
      </c>
      <c r="I128" s="7" t="s">
        <v>726</v>
      </c>
      <c r="J128" s="7"/>
      <c r="K128" s="7" t="s">
        <v>85</v>
      </c>
      <c r="L128" s="7" t="s">
        <v>105</v>
      </c>
      <c r="M128" s="7" t="s">
        <v>87</v>
      </c>
      <c r="N128" s="7"/>
      <c r="O128" s="7"/>
      <c r="P128" s="7" t="s">
        <v>106</v>
      </c>
      <c r="Q128" s="7" t="s">
        <v>144</v>
      </c>
      <c r="R128" s="7" t="s">
        <v>727</v>
      </c>
      <c r="S128" s="7"/>
      <c r="T128" s="7" t="s">
        <v>92</v>
      </c>
      <c r="U128" s="7"/>
      <c r="V128" s="7"/>
      <c r="W128" s="7"/>
      <c r="X128" s="7"/>
      <c r="Y128" s="7"/>
      <c r="Z128" s="7"/>
      <c r="AA128" s="7"/>
      <c r="AB128" s="7"/>
      <c r="AC128" s="8" t="s">
        <v>728</v>
      </c>
      <c r="AD128" s="7"/>
      <c r="AE128" s="7"/>
      <c r="AF128" s="7"/>
      <c r="AG128" s="7" t="s">
        <v>729</v>
      </c>
    </row>
    <row r="129" customFormat="false" ht="35.05" hidden="false" customHeight="false" outlineLevel="0" collapsed="false">
      <c r="A129" s="7" t="s">
        <v>1674</v>
      </c>
      <c r="B129" s="7" t="s">
        <v>116</v>
      </c>
      <c r="C129" s="7" t="s">
        <v>985</v>
      </c>
      <c r="D129" s="7" t="s">
        <v>98</v>
      </c>
      <c r="E129" s="7" t="s">
        <v>1675</v>
      </c>
      <c r="F129" s="7" t="s">
        <v>80</v>
      </c>
      <c r="G129" s="7" t="s">
        <v>81</v>
      </c>
      <c r="H129" s="7" t="s">
        <v>289</v>
      </c>
      <c r="I129" s="7" t="s">
        <v>726</v>
      </c>
      <c r="J129" s="7"/>
      <c r="K129" s="7" t="s">
        <v>291</v>
      </c>
      <c r="L129" s="7" t="s">
        <v>1676</v>
      </c>
      <c r="M129" s="7" t="s">
        <v>1677</v>
      </c>
      <c r="N129" s="7"/>
      <c r="O129" s="7"/>
      <c r="P129" s="7" t="s">
        <v>1678</v>
      </c>
      <c r="Q129" s="7" t="s">
        <v>988</v>
      </c>
      <c r="R129" s="7" t="s">
        <v>1679</v>
      </c>
      <c r="S129" s="7"/>
      <c r="T129" s="7" t="s">
        <v>92</v>
      </c>
      <c r="U129" s="7"/>
      <c r="V129" s="7"/>
      <c r="W129" s="7"/>
      <c r="X129" s="7"/>
      <c r="Y129" s="7"/>
      <c r="Z129" s="7"/>
      <c r="AA129" s="7"/>
      <c r="AB129" s="7"/>
      <c r="AC129" s="8" t="s">
        <v>1680</v>
      </c>
      <c r="AD129" s="7" t="s">
        <v>177</v>
      </c>
      <c r="AE129" s="7"/>
      <c r="AF129" s="7"/>
      <c r="AG129" s="7"/>
    </row>
    <row r="130" customFormat="false" ht="35.05" hidden="false" customHeight="false" outlineLevel="0" collapsed="false">
      <c r="A130" s="7" t="s">
        <v>1681</v>
      </c>
      <c r="B130" s="7" t="s">
        <v>811</v>
      </c>
      <c r="C130" s="7" t="s">
        <v>985</v>
      </c>
      <c r="D130" s="7" t="s">
        <v>98</v>
      </c>
      <c r="E130" s="7" t="s">
        <v>1682</v>
      </c>
      <c r="F130" s="7" t="s">
        <v>887</v>
      </c>
      <c r="G130" s="7" t="s">
        <v>81</v>
      </c>
      <c r="H130" s="7" t="s">
        <v>289</v>
      </c>
      <c r="I130" s="7" t="s">
        <v>726</v>
      </c>
      <c r="J130" s="7"/>
      <c r="K130" s="7" t="s">
        <v>85</v>
      </c>
      <c r="L130" s="7" t="s">
        <v>105</v>
      </c>
      <c r="M130" s="7" t="s">
        <v>1683</v>
      </c>
      <c r="N130" s="7"/>
      <c r="O130" s="7"/>
      <c r="P130" s="7" t="s">
        <v>106</v>
      </c>
      <c r="Q130" s="7" t="s">
        <v>988</v>
      </c>
      <c r="R130" s="7" t="s">
        <v>1684</v>
      </c>
      <c r="S130" s="7"/>
      <c r="T130" s="7" t="s">
        <v>92</v>
      </c>
      <c r="U130" s="7"/>
      <c r="V130" s="7"/>
      <c r="W130" s="7"/>
      <c r="X130" s="7"/>
      <c r="Y130" s="7"/>
      <c r="Z130" s="7"/>
      <c r="AA130" s="7"/>
      <c r="AB130" s="7"/>
      <c r="AC130" s="8" t="s">
        <v>1685</v>
      </c>
      <c r="AD130" s="7"/>
      <c r="AE130" s="7" t="s">
        <v>1686</v>
      </c>
      <c r="AF130" s="7"/>
      <c r="AG130" s="7" t="s">
        <v>1687</v>
      </c>
    </row>
    <row r="131" customFormat="false" ht="35.05" hidden="false" customHeight="false" outlineLevel="0" collapsed="false">
      <c r="A131" s="7" t="s">
        <v>1688</v>
      </c>
      <c r="B131" s="7" t="s">
        <v>116</v>
      </c>
      <c r="C131" s="7" t="s">
        <v>985</v>
      </c>
      <c r="D131" s="7" t="s">
        <v>78</v>
      </c>
      <c r="E131" s="7" t="s">
        <v>1689</v>
      </c>
      <c r="F131" s="7" t="s">
        <v>80</v>
      </c>
      <c r="G131" s="7" t="s">
        <v>81</v>
      </c>
      <c r="H131" s="7" t="s">
        <v>289</v>
      </c>
      <c r="I131" s="7" t="s">
        <v>1690</v>
      </c>
      <c r="J131" s="7" t="s">
        <v>1691</v>
      </c>
      <c r="K131" s="7" t="s">
        <v>85</v>
      </c>
      <c r="L131" s="7" t="s">
        <v>105</v>
      </c>
      <c r="M131" s="7" t="s">
        <v>87</v>
      </c>
      <c r="N131" s="7"/>
      <c r="O131" s="7"/>
      <c r="P131" s="7" t="s">
        <v>88</v>
      </c>
      <c r="Q131" s="7" t="s">
        <v>988</v>
      </c>
      <c r="R131" s="7" t="s">
        <v>1692</v>
      </c>
      <c r="S131" s="7"/>
      <c r="T131" s="7" t="s">
        <v>92</v>
      </c>
      <c r="U131" s="7"/>
      <c r="V131" s="7"/>
      <c r="W131" s="7"/>
      <c r="X131" s="7"/>
      <c r="Y131" s="7"/>
      <c r="Z131" s="7"/>
      <c r="AA131" s="8" t="s">
        <v>1693</v>
      </c>
      <c r="AB131" s="7"/>
      <c r="AC131" s="8" t="s">
        <v>1694</v>
      </c>
      <c r="AD131" s="7" t="s">
        <v>177</v>
      </c>
      <c r="AE131" s="7"/>
      <c r="AF131" s="7"/>
      <c r="AG131" s="7" t="s">
        <v>270</v>
      </c>
    </row>
    <row r="132" customFormat="false" ht="79.85" hidden="false" customHeight="false" outlineLevel="0" collapsed="false">
      <c r="A132" s="7" t="s">
        <v>1695</v>
      </c>
      <c r="B132" s="7" t="s">
        <v>811</v>
      </c>
      <c r="C132" s="7" t="s">
        <v>985</v>
      </c>
      <c r="D132" s="7" t="s">
        <v>98</v>
      </c>
      <c r="E132" s="7" t="s">
        <v>1696</v>
      </c>
      <c r="F132" s="7" t="s">
        <v>379</v>
      </c>
      <c r="G132" s="7" t="s">
        <v>81</v>
      </c>
      <c r="H132" s="7" t="s">
        <v>289</v>
      </c>
      <c r="I132" s="7" t="s">
        <v>1690</v>
      </c>
      <c r="J132" s="7" t="s">
        <v>1697</v>
      </c>
      <c r="K132" s="7" t="s">
        <v>85</v>
      </c>
      <c r="L132" s="7" t="s">
        <v>1698</v>
      </c>
      <c r="M132" s="7" t="s">
        <v>87</v>
      </c>
      <c r="N132" s="7"/>
      <c r="O132" s="7"/>
      <c r="P132" s="7" t="s">
        <v>106</v>
      </c>
      <c r="Q132" s="7" t="s">
        <v>988</v>
      </c>
      <c r="R132" s="7" t="s">
        <v>1699</v>
      </c>
      <c r="S132" s="7"/>
      <c r="T132" s="7" t="s">
        <v>92</v>
      </c>
      <c r="U132" s="7"/>
      <c r="V132" s="7"/>
      <c r="W132" s="7"/>
      <c r="X132" s="7"/>
      <c r="Y132" s="7"/>
      <c r="Z132" s="7"/>
      <c r="AA132" s="7"/>
      <c r="AB132" s="7"/>
      <c r="AC132" s="8" t="s">
        <v>1700</v>
      </c>
      <c r="AD132" s="7"/>
      <c r="AE132" s="7" t="s">
        <v>1701</v>
      </c>
      <c r="AF132" s="7" t="s">
        <v>1702</v>
      </c>
      <c r="AG132" s="7" t="s">
        <v>1703</v>
      </c>
    </row>
    <row r="133" customFormat="false" ht="35.05" hidden="false" customHeight="false" outlineLevel="0" collapsed="false">
      <c r="A133" s="7" t="s">
        <v>730</v>
      </c>
      <c r="B133" s="7" t="s">
        <v>116</v>
      </c>
      <c r="C133" s="7" t="s">
        <v>141</v>
      </c>
      <c r="D133" s="7" t="s">
        <v>98</v>
      </c>
      <c r="E133" s="7" t="s">
        <v>731</v>
      </c>
      <c r="F133" s="7" t="s">
        <v>80</v>
      </c>
      <c r="G133" s="7" t="s">
        <v>81</v>
      </c>
      <c r="H133" s="7" t="s">
        <v>289</v>
      </c>
      <c r="I133" s="7" t="s">
        <v>732</v>
      </c>
      <c r="J133" s="7" t="s">
        <v>733</v>
      </c>
      <c r="K133" s="7" t="s">
        <v>85</v>
      </c>
      <c r="L133" s="7" t="s">
        <v>105</v>
      </c>
      <c r="M133" s="7" t="s">
        <v>87</v>
      </c>
      <c r="N133" s="7"/>
      <c r="O133" s="7"/>
      <c r="P133" s="7" t="s">
        <v>106</v>
      </c>
      <c r="Q133" s="7" t="s">
        <v>144</v>
      </c>
      <c r="R133" s="7" t="s">
        <v>734</v>
      </c>
      <c r="S133" s="7"/>
      <c r="T133" s="7" t="s">
        <v>92</v>
      </c>
      <c r="U133" s="7"/>
      <c r="V133" s="7"/>
      <c r="W133" s="7"/>
      <c r="X133" s="7"/>
      <c r="Y133" s="7"/>
      <c r="Z133" s="7"/>
      <c r="AA133" s="7"/>
      <c r="AB133" s="7"/>
      <c r="AC133" s="8" t="s">
        <v>735</v>
      </c>
      <c r="AD133" s="7" t="s">
        <v>177</v>
      </c>
      <c r="AE133" s="7"/>
      <c r="AF133" s="7"/>
      <c r="AG133" s="7" t="s">
        <v>736</v>
      </c>
    </row>
    <row r="134" customFormat="false" ht="68.65" hidden="false" customHeight="false" outlineLevel="0" collapsed="false">
      <c r="A134" s="7" t="s">
        <v>1704</v>
      </c>
      <c r="B134" s="7" t="s">
        <v>116</v>
      </c>
      <c r="C134" s="7" t="s">
        <v>985</v>
      </c>
      <c r="D134" s="7" t="s">
        <v>78</v>
      </c>
      <c r="E134" s="7" t="s">
        <v>1705</v>
      </c>
      <c r="F134" s="7" t="s">
        <v>379</v>
      </c>
      <c r="G134" s="7" t="s">
        <v>81</v>
      </c>
      <c r="H134" s="7" t="s">
        <v>289</v>
      </c>
      <c r="I134" s="7" t="s">
        <v>732</v>
      </c>
      <c r="J134" s="7" t="s">
        <v>1706</v>
      </c>
      <c r="K134" s="7" t="s">
        <v>85</v>
      </c>
      <c r="L134" s="7" t="s">
        <v>1707</v>
      </c>
      <c r="M134" s="7" t="s">
        <v>1708</v>
      </c>
      <c r="N134" s="7"/>
      <c r="O134" s="7"/>
      <c r="P134" s="7" t="s">
        <v>88</v>
      </c>
      <c r="Q134" s="7" t="s">
        <v>1709</v>
      </c>
      <c r="R134" s="7" t="s">
        <v>1710</v>
      </c>
      <c r="S134" s="7" t="s">
        <v>1711</v>
      </c>
      <c r="T134" s="7" t="s">
        <v>109</v>
      </c>
      <c r="U134" s="7" t="s">
        <v>1712</v>
      </c>
      <c r="V134" s="8" t="s">
        <v>1713</v>
      </c>
      <c r="W134" s="7"/>
      <c r="X134" s="7"/>
      <c r="Y134" s="7" t="s">
        <v>1714</v>
      </c>
      <c r="Z134" s="7"/>
      <c r="AA134" s="7"/>
      <c r="AB134" s="7"/>
      <c r="AC134" s="8" t="s">
        <v>301</v>
      </c>
      <c r="AD134" s="7"/>
      <c r="AE134" s="7" t="s">
        <v>285</v>
      </c>
      <c r="AF134" s="7"/>
      <c r="AG134" s="7" t="s">
        <v>1715</v>
      </c>
    </row>
    <row r="135" customFormat="false" ht="57.45" hidden="false" customHeight="false" outlineLevel="0" collapsed="false">
      <c r="A135" s="7" t="s">
        <v>906</v>
      </c>
      <c r="B135" s="7" t="s">
        <v>811</v>
      </c>
      <c r="C135" s="7" t="s">
        <v>141</v>
      </c>
      <c r="D135" s="7" t="s">
        <v>98</v>
      </c>
      <c r="E135" s="7" t="s">
        <v>907</v>
      </c>
      <c r="F135" s="7" t="s">
        <v>80</v>
      </c>
      <c r="G135" s="7" t="s">
        <v>81</v>
      </c>
      <c r="H135" s="7" t="s">
        <v>289</v>
      </c>
      <c r="I135" s="7" t="s">
        <v>732</v>
      </c>
      <c r="J135" s="7"/>
      <c r="K135" s="7" t="s">
        <v>85</v>
      </c>
      <c r="L135" s="7" t="s">
        <v>908</v>
      </c>
      <c r="M135" s="7" t="s">
        <v>87</v>
      </c>
      <c r="N135" s="7"/>
      <c r="O135" s="7"/>
      <c r="P135" s="7" t="s">
        <v>106</v>
      </c>
      <c r="Q135" s="7" t="s">
        <v>144</v>
      </c>
      <c r="R135" s="7" t="s">
        <v>909</v>
      </c>
      <c r="S135" s="7"/>
      <c r="T135" s="7" t="s">
        <v>92</v>
      </c>
      <c r="U135" s="7"/>
      <c r="V135" s="7"/>
      <c r="W135" s="7"/>
      <c r="X135" s="7"/>
      <c r="Y135" s="7"/>
      <c r="Z135" s="7"/>
      <c r="AA135" s="7"/>
      <c r="AB135" s="7"/>
      <c r="AC135" s="8" t="s">
        <v>735</v>
      </c>
      <c r="AD135" s="7" t="s">
        <v>910</v>
      </c>
      <c r="AE135" s="7"/>
      <c r="AF135" s="7"/>
      <c r="AG135" s="7" t="s">
        <v>911</v>
      </c>
    </row>
    <row r="136" customFormat="false" ht="23.85" hidden="false" customHeight="false" outlineLevel="0" collapsed="false">
      <c r="A136" s="7" t="s">
        <v>1716</v>
      </c>
      <c r="B136" s="7" t="s">
        <v>116</v>
      </c>
      <c r="C136" s="7" t="s">
        <v>985</v>
      </c>
      <c r="D136" s="7" t="s">
        <v>98</v>
      </c>
      <c r="E136" s="7" t="s">
        <v>1717</v>
      </c>
      <c r="F136" s="7" t="s">
        <v>257</v>
      </c>
      <c r="G136" s="7" t="s">
        <v>81</v>
      </c>
      <c r="H136" s="7" t="s">
        <v>289</v>
      </c>
      <c r="I136" s="7" t="s">
        <v>1718</v>
      </c>
      <c r="J136" s="7"/>
      <c r="K136" s="7" t="s">
        <v>85</v>
      </c>
      <c r="L136" s="7" t="s">
        <v>105</v>
      </c>
      <c r="M136" s="7" t="s">
        <v>87</v>
      </c>
      <c r="N136" s="7"/>
      <c r="O136" s="7"/>
      <c r="P136" s="7" t="s">
        <v>106</v>
      </c>
      <c r="Q136" s="7" t="s">
        <v>988</v>
      </c>
      <c r="R136" s="7" t="s">
        <v>1719</v>
      </c>
      <c r="S136" s="7"/>
      <c r="T136" s="7" t="s">
        <v>92</v>
      </c>
      <c r="U136" s="7"/>
      <c r="V136" s="7"/>
      <c r="W136" s="7"/>
      <c r="X136" s="7"/>
      <c r="Y136" s="7"/>
      <c r="Z136" s="7"/>
      <c r="AA136" s="7"/>
      <c r="AB136" s="7"/>
      <c r="AC136" s="8" t="s">
        <v>1720</v>
      </c>
      <c r="AD136" s="7"/>
      <c r="AE136" s="7" t="s">
        <v>1721</v>
      </c>
      <c r="AF136" s="7"/>
      <c r="AG136" s="7" t="s">
        <v>1722</v>
      </c>
    </row>
    <row r="137" customFormat="false" ht="35.05" hidden="false" customHeight="false" outlineLevel="0" collapsed="false">
      <c r="A137" s="7" t="s">
        <v>1723</v>
      </c>
      <c r="B137" s="7" t="s">
        <v>116</v>
      </c>
      <c r="C137" s="7" t="s">
        <v>985</v>
      </c>
      <c r="D137" s="7" t="s">
        <v>98</v>
      </c>
      <c r="E137" s="7" t="s">
        <v>1724</v>
      </c>
      <c r="F137" s="7" t="s">
        <v>257</v>
      </c>
      <c r="G137" s="7" t="s">
        <v>81</v>
      </c>
      <c r="H137" s="7" t="s">
        <v>289</v>
      </c>
      <c r="I137" s="7" t="s">
        <v>1718</v>
      </c>
      <c r="J137" s="7"/>
      <c r="K137" s="7" t="s">
        <v>291</v>
      </c>
      <c r="L137" s="7" t="s">
        <v>1676</v>
      </c>
      <c r="M137" s="7" t="s">
        <v>1677</v>
      </c>
      <c r="N137" s="7"/>
      <c r="O137" s="7"/>
      <c r="P137" s="7" t="s">
        <v>1678</v>
      </c>
      <c r="Q137" s="7" t="s">
        <v>988</v>
      </c>
      <c r="R137" s="7" t="s">
        <v>1725</v>
      </c>
      <c r="S137" s="7"/>
      <c r="T137" s="7" t="s">
        <v>92</v>
      </c>
      <c r="U137" s="7"/>
      <c r="V137" s="7"/>
      <c r="W137" s="7"/>
      <c r="X137" s="7"/>
      <c r="Y137" s="7"/>
      <c r="Z137" s="7"/>
      <c r="AA137" s="7"/>
      <c r="AB137" s="7"/>
      <c r="AC137" s="8" t="s">
        <v>1680</v>
      </c>
      <c r="AD137" s="7" t="s">
        <v>177</v>
      </c>
      <c r="AE137" s="7"/>
      <c r="AF137" s="7"/>
      <c r="AG137" s="7"/>
    </row>
    <row r="138" customFormat="false" ht="23.85" hidden="false" customHeight="false" outlineLevel="0" collapsed="false">
      <c r="A138" s="7" t="s">
        <v>1726</v>
      </c>
      <c r="B138" s="7" t="s">
        <v>116</v>
      </c>
      <c r="C138" s="7" t="s">
        <v>985</v>
      </c>
      <c r="D138" s="7" t="s">
        <v>98</v>
      </c>
      <c r="E138" s="7" t="s">
        <v>1727</v>
      </c>
      <c r="F138" s="7" t="s">
        <v>80</v>
      </c>
      <c r="G138" s="7" t="s">
        <v>81</v>
      </c>
      <c r="H138" s="7" t="s">
        <v>289</v>
      </c>
      <c r="I138" s="7" t="s">
        <v>1718</v>
      </c>
      <c r="J138" s="7" t="s">
        <v>1728</v>
      </c>
      <c r="K138" s="7" t="s">
        <v>85</v>
      </c>
      <c r="L138" s="7" t="s">
        <v>105</v>
      </c>
      <c r="M138" s="7" t="s">
        <v>87</v>
      </c>
      <c r="N138" s="7"/>
      <c r="O138" s="7"/>
      <c r="P138" s="7" t="s">
        <v>106</v>
      </c>
      <c r="Q138" s="7" t="s">
        <v>988</v>
      </c>
      <c r="R138" s="7" t="s">
        <v>1729</v>
      </c>
      <c r="S138" s="7"/>
      <c r="T138" s="7" t="s">
        <v>92</v>
      </c>
      <c r="U138" s="7"/>
      <c r="V138" s="7"/>
      <c r="W138" s="7"/>
      <c r="X138" s="7"/>
      <c r="Y138" s="7"/>
      <c r="Z138" s="7"/>
      <c r="AA138" s="7"/>
      <c r="AB138" s="7"/>
      <c r="AC138" s="8" t="s">
        <v>1730</v>
      </c>
      <c r="AD138" s="7"/>
      <c r="AE138" s="7" t="s">
        <v>1731</v>
      </c>
      <c r="AF138" s="7"/>
      <c r="AG138" s="7" t="s">
        <v>1732</v>
      </c>
    </row>
    <row r="139" customFormat="false" ht="23.85" hidden="false" customHeight="false" outlineLevel="0" collapsed="false">
      <c r="A139" s="7" t="s">
        <v>1733</v>
      </c>
      <c r="B139" s="7" t="s">
        <v>116</v>
      </c>
      <c r="C139" s="7" t="s">
        <v>985</v>
      </c>
      <c r="D139" s="7" t="s">
        <v>98</v>
      </c>
      <c r="E139" s="7" t="s">
        <v>1734</v>
      </c>
      <c r="F139" s="7" t="s">
        <v>80</v>
      </c>
      <c r="G139" s="7" t="s">
        <v>81</v>
      </c>
      <c r="H139" s="7" t="s">
        <v>289</v>
      </c>
      <c r="I139" s="7" t="s">
        <v>1718</v>
      </c>
      <c r="J139" s="7" t="s">
        <v>1735</v>
      </c>
      <c r="K139" s="7" t="s">
        <v>85</v>
      </c>
      <c r="L139" s="7" t="s">
        <v>105</v>
      </c>
      <c r="M139" s="7" t="s">
        <v>87</v>
      </c>
      <c r="N139" s="7"/>
      <c r="O139" s="7"/>
      <c r="P139" s="7" t="s">
        <v>106</v>
      </c>
      <c r="Q139" s="7" t="s">
        <v>988</v>
      </c>
      <c r="R139" s="7" t="s">
        <v>1736</v>
      </c>
      <c r="S139" s="7"/>
      <c r="T139" s="7" t="s">
        <v>92</v>
      </c>
      <c r="U139" s="7"/>
      <c r="V139" s="7"/>
      <c r="W139" s="7"/>
      <c r="X139" s="7"/>
      <c r="Y139" s="7"/>
      <c r="Z139" s="7"/>
      <c r="AA139" s="7"/>
      <c r="AB139" s="7"/>
      <c r="AC139" s="8" t="s">
        <v>1737</v>
      </c>
      <c r="AD139" s="7"/>
      <c r="AE139" s="7" t="s">
        <v>1738</v>
      </c>
      <c r="AF139" s="7"/>
      <c r="AG139" s="7" t="s">
        <v>1739</v>
      </c>
    </row>
    <row r="140" customFormat="false" ht="23.85" hidden="false" customHeight="false" outlineLevel="0" collapsed="false">
      <c r="A140" s="7" t="s">
        <v>1740</v>
      </c>
      <c r="B140" s="7" t="s">
        <v>116</v>
      </c>
      <c r="C140" s="7" t="s">
        <v>985</v>
      </c>
      <c r="D140" s="7" t="s">
        <v>78</v>
      </c>
      <c r="E140" s="7" t="s">
        <v>1741</v>
      </c>
      <c r="F140" s="7" t="s">
        <v>257</v>
      </c>
      <c r="G140" s="7" t="s">
        <v>81</v>
      </c>
      <c r="H140" s="7" t="s">
        <v>289</v>
      </c>
      <c r="I140" s="7" t="s">
        <v>1742</v>
      </c>
      <c r="J140" s="7"/>
      <c r="K140" s="7" t="s">
        <v>85</v>
      </c>
      <c r="L140" s="7" t="s">
        <v>1743</v>
      </c>
      <c r="M140" s="7" t="s">
        <v>260</v>
      </c>
      <c r="N140" s="7"/>
      <c r="O140" s="7"/>
      <c r="P140" s="7" t="s">
        <v>88</v>
      </c>
      <c r="Q140" s="7" t="s">
        <v>988</v>
      </c>
      <c r="R140" s="7" t="s">
        <v>1744</v>
      </c>
      <c r="S140" s="7" t="s">
        <v>1745</v>
      </c>
      <c r="T140" s="7" t="s">
        <v>109</v>
      </c>
      <c r="U140" s="7" t="s">
        <v>266</v>
      </c>
      <c r="V140" s="8" t="s">
        <v>267</v>
      </c>
      <c r="W140" s="7"/>
      <c r="X140" s="7"/>
      <c r="Y140" s="7"/>
      <c r="Z140" s="7"/>
      <c r="AA140" s="7"/>
      <c r="AB140" s="7" t="s">
        <v>1746</v>
      </c>
      <c r="AC140" s="8" t="s">
        <v>269</v>
      </c>
      <c r="AD140" s="7"/>
      <c r="AE140" s="7"/>
      <c r="AF140" s="7"/>
      <c r="AG140" s="7" t="s">
        <v>96</v>
      </c>
    </row>
    <row r="141" customFormat="false" ht="57.45" hidden="false" customHeight="false" outlineLevel="0" collapsed="false">
      <c r="A141" s="7" t="s">
        <v>1747</v>
      </c>
      <c r="B141" s="7" t="s">
        <v>116</v>
      </c>
      <c r="C141" s="7" t="s">
        <v>985</v>
      </c>
      <c r="D141" s="7" t="s">
        <v>78</v>
      </c>
      <c r="E141" s="7" t="s">
        <v>1748</v>
      </c>
      <c r="F141" s="7" t="s">
        <v>80</v>
      </c>
      <c r="G141" s="7" t="s">
        <v>81</v>
      </c>
      <c r="H141" s="7" t="s">
        <v>289</v>
      </c>
      <c r="I141" s="7" t="s">
        <v>1749</v>
      </c>
      <c r="J141" s="7"/>
      <c r="K141" s="7" t="s">
        <v>85</v>
      </c>
      <c r="L141" s="7" t="s">
        <v>1750</v>
      </c>
      <c r="M141" s="7" t="s">
        <v>1751</v>
      </c>
      <c r="N141" s="7"/>
      <c r="O141" s="7"/>
      <c r="P141" s="7" t="s">
        <v>1752</v>
      </c>
      <c r="Q141" s="7" t="s">
        <v>988</v>
      </c>
      <c r="R141" s="7" t="s">
        <v>1753</v>
      </c>
      <c r="S141" s="7" t="s">
        <v>1754</v>
      </c>
      <c r="T141" s="7" t="s">
        <v>109</v>
      </c>
      <c r="U141" s="7" t="s">
        <v>1755</v>
      </c>
      <c r="V141" s="8" t="s">
        <v>1756</v>
      </c>
      <c r="W141" s="7"/>
      <c r="X141" s="7"/>
      <c r="Y141" s="7"/>
      <c r="Z141" s="7"/>
      <c r="AA141" s="7"/>
      <c r="AB141" s="7" t="s">
        <v>1757</v>
      </c>
      <c r="AC141" s="8" t="s">
        <v>1758</v>
      </c>
      <c r="AD141" s="7"/>
      <c r="AE141" s="7" t="s">
        <v>193</v>
      </c>
      <c r="AF141" s="7"/>
      <c r="AG141" s="7" t="s">
        <v>1759</v>
      </c>
    </row>
    <row r="142" customFormat="false" ht="23.85" hidden="false" customHeight="false" outlineLevel="0" collapsed="false">
      <c r="A142" s="7" t="s">
        <v>1760</v>
      </c>
      <c r="B142" s="7" t="s">
        <v>76</v>
      </c>
      <c r="C142" s="7" t="s">
        <v>985</v>
      </c>
      <c r="D142" s="7" t="s">
        <v>78</v>
      </c>
      <c r="E142" s="7" t="s">
        <v>1761</v>
      </c>
      <c r="F142" s="7" t="s">
        <v>1213</v>
      </c>
      <c r="G142" s="7" t="s">
        <v>306</v>
      </c>
      <c r="H142" s="7" t="s">
        <v>1762</v>
      </c>
      <c r="I142" s="7" t="s">
        <v>1763</v>
      </c>
      <c r="J142" s="7" t="s">
        <v>1764</v>
      </c>
      <c r="K142" s="7" t="s">
        <v>85</v>
      </c>
      <c r="L142" s="7" t="s">
        <v>1765</v>
      </c>
      <c r="M142" s="7" t="s">
        <v>1766</v>
      </c>
      <c r="N142" s="7" t="s">
        <v>1767</v>
      </c>
      <c r="O142" s="7"/>
      <c r="P142" s="7" t="s">
        <v>1768</v>
      </c>
      <c r="Q142" s="7" t="s">
        <v>1769</v>
      </c>
      <c r="R142" s="7" t="s">
        <v>1770</v>
      </c>
      <c r="S142" s="7" t="s">
        <v>1771</v>
      </c>
      <c r="T142" s="7" t="s">
        <v>109</v>
      </c>
      <c r="U142" s="7" t="s">
        <v>1772</v>
      </c>
      <c r="V142" s="8" t="s">
        <v>1773</v>
      </c>
      <c r="W142" s="7"/>
      <c r="X142" s="7"/>
      <c r="Y142" s="7" t="s">
        <v>1774</v>
      </c>
      <c r="Z142" s="7"/>
      <c r="AA142" s="7"/>
      <c r="AB142" s="7" t="s">
        <v>1775</v>
      </c>
      <c r="AC142" s="8" t="s">
        <v>1776</v>
      </c>
      <c r="AD142" s="7"/>
      <c r="AE142" s="7"/>
      <c r="AF142" s="7"/>
      <c r="AG142" s="7" t="s">
        <v>747</v>
      </c>
    </row>
    <row r="143" customFormat="false" ht="46.25" hidden="false" customHeight="false" outlineLevel="0" collapsed="false">
      <c r="A143" s="7" t="s">
        <v>1777</v>
      </c>
      <c r="B143" s="7" t="s">
        <v>116</v>
      </c>
      <c r="C143" s="7" t="s">
        <v>985</v>
      </c>
      <c r="D143" s="7" t="s">
        <v>98</v>
      </c>
      <c r="E143" s="7" t="s">
        <v>1778</v>
      </c>
      <c r="F143" s="7" t="s">
        <v>257</v>
      </c>
      <c r="G143" s="7" t="s">
        <v>306</v>
      </c>
      <c r="H143" s="7" t="s">
        <v>1762</v>
      </c>
      <c r="I143" s="7" t="s">
        <v>1763</v>
      </c>
      <c r="J143" s="7"/>
      <c r="K143" s="7" t="s">
        <v>85</v>
      </c>
      <c r="L143" s="7" t="s">
        <v>105</v>
      </c>
      <c r="M143" s="7" t="s">
        <v>87</v>
      </c>
      <c r="N143" s="7"/>
      <c r="O143" s="7"/>
      <c r="P143" s="7" t="s">
        <v>106</v>
      </c>
      <c r="Q143" s="7" t="s">
        <v>988</v>
      </c>
      <c r="R143" s="7" t="s">
        <v>1779</v>
      </c>
      <c r="S143" s="7" t="s">
        <v>1780</v>
      </c>
      <c r="T143" s="7" t="s">
        <v>109</v>
      </c>
      <c r="U143" s="7" t="s">
        <v>1781</v>
      </c>
      <c r="V143" s="8" t="s">
        <v>1782</v>
      </c>
      <c r="W143" s="7"/>
      <c r="X143" s="7"/>
      <c r="Y143" s="7"/>
      <c r="Z143" s="7"/>
      <c r="AA143" s="7"/>
      <c r="AB143" s="7"/>
      <c r="AC143" s="8" t="s">
        <v>1782</v>
      </c>
      <c r="AD143" s="7" t="s">
        <v>1783</v>
      </c>
      <c r="AE143" s="7"/>
      <c r="AF143" s="7"/>
      <c r="AG143" s="7" t="s">
        <v>96</v>
      </c>
    </row>
    <row r="144" customFormat="false" ht="35.05" hidden="false" customHeight="false" outlineLevel="0" collapsed="false">
      <c r="A144" s="7" t="s">
        <v>1784</v>
      </c>
      <c r="B144" s="7" t="s">
        <v>116</v>
      </c>
      <c r="C144" s="7" t="s">
        <v>985</v>
      </c>
      <c r="D144" s="7" t="s">
        <v>78</v>
      </c>
      <c r="E144" s="7" t="s">
        <v>1785</v>
      </c>
      <c r="F144" s="7" t="s">
        <v>80</v>
      </c>
      <c r="G144" s="7" t="s">
        <v>306</v>
      </c>
      <c r="H144" s="7" t="s">
        <v>1762</v>
      </c>
      <c r="I144" s="7" t="s">
        <v>1763</v>
      </c>
      <c r="J144" s="7" t="s">
        <v>1786</v>
      </c>
      <c r="K144" s="7" t="s">
        <v>85</v>
      </c>
      <c r="L144" s="7" t="s">
        <v>105</v>
      </c>
      <c r="M144" s="7" t="s">
        <v>87</v>
      </c>
      <c r="N144" s="7"/>
      <c r="O144" s="7"/>
      <c r="P144" s="7" t="s">
        <v>88</v>
      </c>
      <c r="Q144" s="7" t="s">
        <v>988</v>
      </c>
      <c r="R144" s="7" t="s">
        <v>1787</v>
      </c>
      <c r="S144" s="7" t="s">
        <v>1788</v>
      </c>
      <c r="T144" s="7" t="s">
        <v>109</v>
      </c>
      <c r="U144" s="7" t="s">
        <v>1789</v>
      </c>
      <c r="V144" s="8" t="s">
        <v>1790</v>
      </c>
      <c r="W144" s="7"/>
      <c r="X144" s="7"/>
      <c r="Y144" s="7"/>
      <c r="Z144" s="7"/>
      <c r="AA144" s="7"/>
      <c r="AB144" s="7"/>
      <c r="AC144" s="8" t="s">
        <v>1791</v>
      </c>
      <c r="AD144" s="7"/>
      <c r="AE144" s="7"/>
      <c r="AF144" s="7"/>
      <c r="AG144" s="7" t="s">
        <v>96</v>
      </c>
    </row>
    <row r="145" customFormat="false" ht="23.85" hidden="false" customHeight="false" outlineLevel="0" collapsed="false">
      <c r="A145" s="7" t="s">
        <v>1792</v>
      </c>
      <c r="B145" s="7" t="s">
        <v>811</v>
      </c>
      <c r="C145" s="7" t="s">
        <v>985</v>
      </c>
      <c r="D145" s="7" t="s">
        <v>98</v>
      </c>
      <c r="E145" s="7" t="s">
        <v>1793</v>
      </c>
      <c r="F145" s="7" t="s">
        <v>80</v>
      </c>
      <c r="G145" s="7" t="s">
        <v>306</v>
      </c>
      <c r="H145" s="7" t="s">
        <v>1762</v>
      </c>
      <c r="I145" s="7" t="s">
        <v>1763</v>
      </c>
      <c r="J145" s="7" t="s">
        <v>1794</v>
      </c>
      <c r="K145" s="7" t="s">
        <v>85</v>
      </c>
      <c r="L145" s="7" t="s">
        <v>105</v>
      </c>
      <c r="M145" s="7" t="s">
        <v>87</v>
      </c>
      <c r="N145" s="7"/>
      <c r="O145" s="7"/>
      <c r="P145" s="7" t="s">
        <v>106</v>
      </c>
      <c r="Q145" s="7" t="s">
        <v>988</v>
      </c>
      <c r="R145" s="7" t="s">
        <v>1795</v>
      </c>
      <c r="S145" s="7"/>
      <c r="T145" s="7" t="s">
        <v>92</v>
      </c>
      <c r="U145" s="7"/>
      <c r="V145" s="7"/>
      <c r="W145" s="7"/>
      <c r="X145" s="7"/>
      <c r="Y145" s="7"/>
      <c r="Z145" s="7"/>
      <c r="AA145" s="7"/>
      <c r="AB145" s="7"/>
      <c r="AC145" s="8" t="s">
        <v>1796</v>
      </c>
      <c r="AD145" s="7"/>
      <c r="AE145" s="7" t="s">
        <v>1119</v>
      </c>
      <c r="AF145" s="7"/>
      <c r="AG145" s="7" t="s">
        <v>1797</v>
      </c>
    </row>
    <row r="146" customFormat="false" ht="35.05" hidden="false" customHeight="false" outlineLevel="0" collapsed="false">
      <c r="A146" s="7" t="s">
        <v>1798</v>
      </c>
      <c r="B146" s="7" t="s">
        <v>811</v>
      </c>
      <c r="C146" s="7" t="s">
        <v>985</v>
      </c>
      <c r="D146" s="7" t="s">
        <v>98</v>
      </c>
      <c r="E146" s="7" t="s">
        <v>1799</v>
      </c>
      <c r="F146" s="7" t="s">
        <v>80</v>
      </c>
      <c r="G146" s="7" t="s">
        <v>306</v>
      </c>
      <c r="H146" s="7" t="s">
        <v>1762</v>
      </c>
      <c r="I146" s="7" t="s">
        <v>1763</v>
      </c>
      <c r="J146" s="7" t="s">
        <v>1786</v>
      </c>
      <c r="K146" s="7" t="s">
        <v>85</v>
      </c>
      <c r="L146" s="7" t="s">
        <v>105</v>
      </c>
      <c r="M146" s="7" t="s">
        <v>87</v>
      </c>
      <c r="N146" s="7"/>
      <c r="O146" s="7"/>
      <c r="P146" s="7" t="s">
        <v>106</v>
      </c>
      <c r="Q146" s="7" t="s">
        <v>988</v>
      </c>
      <c r="R146" s="7" t="s">
        <v>1024</v>
      </c>
      <c r="S146" s="7" t="s">
        <v>756</v>
      </c>
      <c r="T146" s="7" t="s">
        <v>109</v>
      </c>
      <c r="U146" s="7" t="s">
        <v>1800</v>
      </c>
      <c r="V146" s="8" t="s">
        <v>1801</v>
      </c>
      <c r="W146" s="7"/>
      <c r="X146" s="7"/>
      <c r="Y146" s="7"/>
      <c r="Z146" s="7"/>
      <c r="AA146" s="7"/>
      <c r="AB146" s="7"/>
      <c r="AC146" s="8" t="s">
        <v>1801</v>
      </c>
      <c r="AD146" s="7" t="s">
        <v>177</v>
      </c>
      <c r="AE146" s="7"/>
      <c r="AF146" s="7"/>
      <c r="AG146" s="7" t="s">
        <v>96</v>
      </c>
    </row>
    <row r="147" customFormat="false" ht="35.05" hidden="false" customHeight="false" outlineLevel="0" collapsed="false">
      <c r="A147" s="7" t="s">
        <v>1802</v>
      </c>
      <c r="B147" s="7" t="s">
        <v>811</v>
      </c>
      <c r="C147" s="7" t="s">
        <v>985</v>
      </c>
      <c r="D147" s="7" t="s">
        <v>98</v>
      </c>
      <c r="E147" s="7" t="s">
        <v>1803</v>
      </c>
      <c r="F147" s="7" t="s">
        <v>80</v>
      </c>
      <c r="G147" s="7" t="s">
        <v>306</v>
      </c>
      <c r="H147" s="7" t="s">
        <v>1762</v>
      </c>
      <c r="I147" s="7" t="s">
        <v>1763</v>
      </c>
      <c r="J147" s="7" t="s">
        <v>1804</v>
      </c>
      <c r="K147" s="7" t="s">
        <v>85</v>
      </c>
      <c r="L147" s="7" t="s">
        <v>1805</v>
      </c>
      <c r="M147" s="7" t="s">
        <v>87</v>
      </c>
      <c r="N147" s="7"/>
      <c r="O147" s="7"/>
      <c r="P147" s="7" t="s">
        <v>106</v>
      </c>
      <c r="Q147" s="7" t="s">
        <v>988</v>
      </c>
      <c r="R147" s="7" t="s">
        <v>1806</v>
      </c>
      <c r="S147" s="7"/>
      <c r="T147" s="7" t="s">
        <v>109</v>
      </c>
      <c r="U147" s="7" t="s">
        <v>1807</v>
      </c>
      <c r="V147" s="8" t="s">
        <v>1808</v>
      </c>
      <c r="W147" s="7"/>
      <c r="X147" s="7"/>
      <c r="Y147" s="7" t="s">
        <v>1809</v>
      </c>
      <c r="Z147" s="7"/>
      <c r="AA147" s="7"/>
      <c r="AB147" s="7"/>
      <c r="AC147" s="8" t="s">
        <v>1808</v>
      </c>
      <c r="AD147" s="7"/>
      <c r="AE147" s="7"/>
      <c r="AF147" s="7"/>
      <c r="AG147" s="7" t="s">
        <v>1810</v>
      </c>
    </row>
    <row r="148" customFormat="false" ht="35.05" hidden="false" customHeight="false" outlineLevel="0" collapsed="false">
      <c r="A148" s="7" t="s">
        <v>1811</v>
      </c>
      <c r="B148" s="7" t="s">
        <v>811</v>
      </c>
      <c r="C148" s="7" t="s">
        <v>985</v>
      </c>
      <c r="D148" s="7" t="s">
        <v>98</v>
      </c>
      <c r="E148" s="7" t="s">
        <v>1812</v>
      </c>
      <c r="F148" s="7" t="s">
        <v>257</v>
      </c>
      <c r="G148" s="7" t="s">
        <v>306</v>
      </c>
      <c r="H148" s="7" t="s">
        <v>1762</v>
      </c>
      <c r="I148" s="7" t="s">
        <v>1763</v>
      </c>
      <c r="J148" s="7" t="s">
        <v>1813</v>
      </c>
      <c r="K148" s="7" t="s">
        <v>85</v>
      </c>
      <c r="L148" s="7" t="s">
        <v>1814</v>
      </c>
      <c r="M148" s="7" t="s">
        <v>87</v>
      </c>
      <c r="N148" s="7"/>
      <c r="O148" s="7"/>
      <c r="P148" s="7" t="s">
        <v>106</v>
      </c>
      <c r="Q148" s="7" t="s">
        <v>988</v>
      </c>
      <c r="R148" s="7" t="s">
        <v>1815</v>
      </c>
      <c r="S148" s="7" t="s">
        <v>1816</v>
      </c>
      <c r="T148" s="7" t="s">
        <v>92</v>
      </c>
      <c r="U148" s="7"/>
      <c r="V148" s="7"/>
      <c r="W148" s="7"/>
      <c r="X148" s="7"/>
      <c r="Y148" s="7"/>
      <c r="Z148" s="7"/>
      <c r="AA148" s="7"/>
      <c r="AB148" s="7"/>
      <c r="AC148" s="8" t="s">
        <v>1817</v>
      </c>
      <c r="AD148" s="7"/>
      <c r="AE148" s="7"/>
      <c r="AF148" s="7"/>
      <c r="AG148" s="7" t="s">
        <v>1818</v>
      </c>
    </row>
    <row r="149" customFormat="false" ht="23.85" hidden="false" customHeight="false" outlineLevel="0" collapsed="false">
      <c r="A149" s="7" t="s">
        <v>1819</v>
      </c>
      <c r="B149" s="7" t="s">
        <v>811</v>
      </c>
      <c r="C149" s="7" t="s">
        <v>985</v>
      </c>
      <c r="D149" s="7" t="s">
        <v>98</v>
      </c>
      <c r="E149" s="7" t="s">
        <v>1820</v>
      </c>
      <c r="F149" s="7" t="s">
        <v>379</v>
      </c>
      <c r="G149" s="7" t="s">
        <v>306</v>
      </c>
      <c r="H149" s="7" t="s">
        <v>1762</v>
      </c>
      <c r="I149" s="7" t="s">
        <v>1821</v>
      </c>
      <c r="J149" s="7" t="s">
        <v>1822</v>
      </c>
      <c r="K149" s="7" t="s">
        <v>85</v>
      </c>
      <c r="L149" s="7" t="s">
        <v>1823</v>
      </c>
      <c r="M149" s="7" t="s">
        <v>87</v>
      </c>
      <c r="N149" s="7"/>
      <c r="O149" s="7"/>
      <c r="P149" s="7" t="s">
        <v>106</v>
      </c>
      <c r="Q149" s="7" t="s">
        <v>988</v>
      </c>
      <c r="R149" s="7" t="s">
        <v>1824</v>
      </c>
      <c r="S149" s="7"/>
      <c r="T149" s="7" t="s">
        <v>109</v>
      </c>
      <c r="U149" s="7" t="s">
        <v>1825</v>
      </c>
      <c r="V149" s="8" t="s">
        <v>1826</v>
      </c>
      <c r="W149" s="7"/>
      <c r="X149" s="7"/>
      <c r="Y149" s="7"/>
      <c r="Z149" s="7"/>
      <c r="AA149" s="7"/>
      <c r="AB149" s="7"/>
      <c r="AC149" s="8" t="s">
        <v>1826</v>
      </c>
      <c r="AD149" s="7"/>
      <c r="AE149" s="7"/>
      <c r="AF149" s="7"/>
      <c r="AG149" s="7" t="s">
        <v>96</v>
      </c>
    </row>
    <row r="150" customFormat="false" ht="79.85" hidden="false" customHeight="false" outlineLevel="0" collapsed="false">
      <c r="A150" s="7" t="s">
        <v>1827</v>
      </c>
      <c r="B150" s="7" t="s">
        <v>76</v>
      </c>
      <c r="C150" s="7" t="s">
        <v>985</v>
      </c>
      <c r="D150" s="7" t="s">
        <v>78</v>
      </c>
      <c r="E150" s="7" t="s">
        <v>1828</v>
      </c>
      <c r="F150" s="7" t="s">
        <v>80</v>
      </c>
      <c r="G150" s="7" t="s">
        <v>306</v>
      </c>
      <c r="H150" s="7" t="s">
        <v>1762</v>
      </c>
      <c r="I150" s="7" t="s">
        <v>1829</v>
      </c>
      <c r="J150" s="7" t="s">
        <v>1830</v>
      </c>
      <c r="K150" s="7" t="s">
        <v>85</v>
      </c>
      <c r="L150" s="7" t="s">
        <v>105</v>
      </c>
      <c r="M150" s="7" t="s">
        <v>87</v>
      </c>
      <c r="N150" s="7" t="s">
        <v>1831</v>
      </c>
      <c r="O150" s="7"/>
      <c r="P150" s="7" t="s">
        <v>88</v>
      </c>
      <c r="Q150" s="7" t="s">
        <v>988</v>
      </c>
      <c r="R150" s="7" t="s">
        <v>1832</v>
      </c>
      <c r="S150" s="7" t="s">
        <v>1833</v>
      </c>
      <c r="T150" s="7" t="s">
        <v>109</v>
      </c>
      <c r="U150" s="7" t="s">
        <v>1834</v>
      </c>
      <c r="V150" s="8" t="s">
        <v>1835</v>
      </c>
      <c r="W150" s="8" t="s">
        <v>1836</v>
      </c>
      <c r="X150" s="7"/>
      <c r="Y150" s="7"/>
      <c r="Z150" s="7"/>
      <c r="AA150" s="7"/>
      <c r="AB150" s="7"/>
      <c r="AC150" s="8" t="s">
        <v>1837</v>
      </c>
      <c r="AD150" s="7"/>
      <c r="AE150" s="7" t="s">
        <v>1838</v>
      </c>
      <c r="AF150" s="7" t="s">
        <v>1839</v>
      </c>
      <c r="AG150" s="7" t="s">
        <v>1840</v>
      </c>
    </row>
    <row r="151" customFormat="false" ht="23.85" hidden="false" customHeight="false" outlineLevel="0" collapsed="false">
      <c r="A151" s="7" t="s">
        <v>1841</v>
      </c>
      <c r="B151" s="7" t="s">
        <v>116</v>
      </c>
      <c r="C151" s="7" t="s">
        <v>985</v>
      </c>
      <c r="D151" s="7" t="s">
        <v>98</v>
      </c>
      <c r="E151" s="7" t="s">
        <v>1842</v>
      </c>
      <c r="F151" s="7" t="s">
        <v>257</v>
      </c>
      <c r="G151" s="7" t="s">
        <v>306</v>
      </c>
      <c r="H151" s="7" t="s">
        <v>1762</v>
      </c>
      <c r="I151" s="7" t="s">
        <v>1829</v>
      </c>
      <c r="J151" s="7" t="s">
        <v>1843</v>
      </c>
      <c r="K151" s="7" t="s">
        <v>85</v>
      </c>
      <c r="L151" s="7" t="s">
        <v>105</v>
      </c>
      <c r="M151" s="7" t="s">
        <v>87</v>
      </c>
      <c r="N151" s="7"/>
      <c r="O151" s="7"/>
      <c r="P151" s="7" t="s">
        <v>106</v>
      </c>
      <c r="Q151" s="7" t="s">
        <v>988</v>
      </c>
      <c r="R151" s="7" t="s">
        <v>1844</v>
      </c>
      <c r="S151" s="7"/>
      <c r="T151" s="7" t="s">
        <v>109</v>
      </c>
      <c r="U151" s="7" t="s">
        <v>1845</v>
      </c>
      <c r="V151" s="8" t="s">
        <v>1846</v>
      </c>
      <c r="W151" s="7"/>
      <c r="X151" s="7"/>
      <c r="Y151" s="7"/>
      <c r="Z151" s="7"/>
      <c r="AA151" s="7"/>
      <c r="AB151" s="7"/>
      <c r="AC151" s="8" t="s">
        <v>1846</v>
      </c>
      <c r="AD151" s="7"/>
      <c r="AE151" s="7"/>
      <c r="AF151" s="7"/>
      <c r="AG151" s="7"/>
    </row>
    <row r="152" customFormat="false" ht="102.2" hidden="false" customHeight="false" outlineLevel="0" collapsed="false">
      <c r="A152" s="7" t="s">
        <v>1847</v>
      </c>
      <c r="B152" s="7" t="s">
        <v>116</v>
      </c>
      <c r="C152" s="7" t="s">
        <v>985</v>
      </c>
      <c r="D152" s="7" t="s">
        <v>78</v>
      </c>
      <c r="E152" s="7" t="s">
        <v>1848</v>
      </c>
      <c r="F152" s="7" t="s">
        <v>80</v>
      </c>
      <c r="G152" s="7" t="s">
        <v>306</v>
      </c>
      <c r="H152" s="7" t="s">
        <v>1762</v>
      </c>
      <c r="I152" s="7" t="s">
        <v>1829</v>
      </c>
      <c r="J152" s="7" t="s">
        <v>1849</v>
      </c>
      <c r="K152" s="7" t="s">
        <v>85</v>
      </c>
      <c r="L152" s="7" t="s">
        <v>1850</v>
      </c>
      <c r="M152" s="7" t="s">
        <v>87</v>
      </c>
      <c r="N152" s="7"/>
      <c r="O152" s="7" t="s">
        <v>1851</v>
      </c>
      <c r="P152" s="7" t="s">
        <v>1852</v>
      </c>
      <c r="Q152" s="7" t="s">
        <v>988</v>
      </c>
      <c r="R152" s="7" t="s">
        <v>1853</v>
      </c>
      <c r="S152" s="7" t="s">
        <v>1854</v>
      </c>
      <c r="T152" s="7" t="s">
        <v>109</v>
      </c>
      <c r="U152" s="7" t="s">
        <v>1855</v>
      </c>
      <c r="V152" s="8" t="s">
        <v>1856</v>
      </c>
      <c r="W152" s="7"/>
      <c r="X152" s="7"/>
      <c r="Y152" s="7" t="s">
        <v>1857</v>
      </c>
      <c r="Z152" s="7"/>
      <c r="AA152" s="7"/>
      <c r="AB152" s="7"/>
      <c r="AC152" s="8" t="s">
        <v>1856</v>
      </c>
      <c r="AD152" s="7"/>
      <c r="AE152" s="7" t="s">
        <v>1858</v>
      </c>
      <c r="AF152" s="7"/>
      <c r="AG152" s="7" t="s">
        <v>1859</v>
      </c>
    </row>
    <row r="153" customFormat="false" ht="23.85" hidden="false" customHeight="false" outlineLevel="0" collapsed="false">
      <c r="A153" s="7" t="s">
        <v>1860</v>
      </c>
      <c r="B153" s="7" t="s">
        <v>811</v>
      </c>
      <c r="C153" s="7" t="s">
        <v>985</v>
      </c>
      <c r="D153" s="7" t="s">
        <v>98</v>
      </c>
      <c r="E153" s="7" t="s">
        <v>1861</v>
      </c>
      <c r="F153" s="7" t="s">
        <v>80</v>
      </c>
      <c r="G153" s="7" t="s">
        <v>306</v>
      </c>
      <c r="H153" s="7" t="s">
        <v>1762</v>
      </c>
      <c r="I153" s="7" t="s">
        <v>1829</v>
      </c>
      <c r="J153" s="7" t="s">
        <v>1862</v>
      </c>
      <c r="K153" s="7" t="s">
        <v>85</v>
      </c>
      <c r="L153" s="7" t="s">
        <v>1863</v>
      </c>
      <c r="M153" s="7" t="s">
        <v>87</v>
      </c>
      <c r="N153" s="7"/>
      <c r="O153" s="7"/>
      <c r="P153" s="7" t="s">
        <v>106</v>
      </c>
      <c r="Q153" s="7" t="s">
        <v>988</v>
      </c>
      <c r="R153" s="7" t="s">
        <v>1864</v>
      </c>
      <c r="S153" s="7" t="s">
        <v>756</v>
      </c>
      <c r="T153" s="7" t="s">
        <v>92</v>
      </c>
      <c r="U153" s="7"/>
      <c r="V153" s="7"/>
      <c r="W153" s="7"/>
      <c r="X153" s="7"/>
      <c r="Y153" s="7"/>
      <c r="Z153" s="7"/>
      <c r="AA153" s="7"/>
      <c r="AB153" s="7" t="s">
        <v>1865</v>
      </c>
      <c r="AC153" s="8" t="s">
        <v>1866</v>
      </c>
      <c r="AD153" s="7" t="s">
        <v>1867</v>
      </c>
      <c r="AE153" s="7"/>
      <c r="AF153" s="7"/>
      <c r="AG153" s="7" t="s">
        <v>270</v>
      </c>
    </row>
    <row r="154" customFormat="false" ht="57.45" hidden="false" customHeight="false" outlineLevel="0" collapsed="false">
      <c r="A154" s="7" t="s">
        <v>1868</v>
      </c>
      <c r="B154" s="7" t="s">
        <v>811</v>
      </c>
      <c r="C154" s="7" t="s">
        <v>985</v>
      </c>
      <c r="D154" s="7" t="s">
        <v>98</v>
      </c>
      <c r="E154" s="7" t="s">
        <v>1869</v>
      </c>
      <c r="F154" s="7" t="s">
        <v>80</v>
      </c>
      <c r="G154" s="7" t="s">
        <v>306</v>
      </c>
      <c r="H154" s="7" t="s">
        <v>1762</v>
      </c>
      <c r="I154" s="7" t="s">
        <v>1829</v>
      </c>
      <c r="J154" s="7" t="s">
        <v>1870</v>
      </c>
      <c r="K154" s="7" t="s">
        <v>85</v>
      </c>
      <c r="L154" s="7" t="s">
        <v>105</v>
      </c>
      <c r="M154" s="7" t="s">
        <v>87</v>
      </c>
      <c r="N154" s="7" t="s">
        <v>1871</v>
      </c>
      <c r="O154" s="7"/>
      <c r="P154" s="7" t="s">
        <v>1872</v>
      </c>
      <c r="Q154" s="7" t="s">
        <v>988</v>
      </c>
      <c r="R154" s="7" t="s">
        <v>1873</v>
      </c>
      <c r="S154" s="7"/>
      <c r="T154" s="7" t="s">
        <v>109</v>
      </c>
      <c r="U154" s="7" t="s">
        <v>1874</v>
      </c>
      <c r="V154" s="8" t="s">
        <v>1875</v>
      </c>
      <c r="W154" s="7"/>
      <c r="X154" s="7"/>
      <c r="Y154" s="7"/>
      <c r="Z154" s="7"/>
      <c r="AA154" s="7"/>
      <c r="AB154" s="7"/>
      <c r="AC154" s="8" t="s">
        <v>1875</v>
      </c>
      <c r="AD154" s="7"/>
      <c r="AE154" s="7" t="s">
        <v>1876</v>
      </c>
      <c r="AF154" s="7"/>
      <c r="AG154" s="7" t="s">
        <v>1877</v>
      </c>
    </row>
    <row r="155" customFormat="false" ht="46.25" hidden="false" customHeight="false" outlineLevel="0" collapsed="false">
      <c r="A155" s="7" t="s">
        <v>1878</v>
      </c>
      <c r="B155" s="7" t="s">
        <v>811</v>
      </c>
      <c r="C155" s="7" t="s">
        <v>985</v>
      </c>
      <c r="D155" s="7" t="s">
        <v>98</v>
      </c>
      <c r="E155" s="7" t="s">
        <v>1879</v>
      </c>
      <c r="F155" s="7" t="s">
        <v>80</v>
      </c>
      <c r="G155" s="7" t="s">
        <v>306</v>
      </c>
      <c r="H155" s="7" t="s">
        <v>1762</v>
      </c>
      <c r="I155" s="7" t="s">
        <v>1829</v>
      </c>
      <c r="J155" s="7" t="s">
        <v>1880</v>
      </c>
      <c r="K155" s="7" t="s">
        <v>85</v>
      </c>
      <c r="L155" s="7" t="s">
        <v>105</v>
      </c>
      <c r="M155" s="7" t="s">
        <v>87</v>
      </c>
      <c r="N155" s="7"/>
      <c r="O155" s="7"/>
      <c r="P155" s="7" t="s">
        <v>106</v>
      </c>
      <c r="Q155" s="7" t="s">
        <v>988</v>
      </c>
      <c r="R155" s="7" t="s">
        <v>1881</v>
      </c>
      <c r="S155" s="7" t="s">
        <v>1882</v>
      </c>
      <c r="T155" s="7" t="s">
        <v>109</v>
      </c>
      <c r="U155" s="7" t="s">
        <v>1883</v>
      </c>
      <c r="V155" s="8" t="s">
        <v>1884</v>
      </c>
      <c r="W155" s="7"/>
      <c r="X155" s="7"/>
      <c r="Y155" s="7"/>
      <c r="Z155" s="7"/>
      <c r="AA155" s="7"/>
      <c r="AB155" s="7"/>
      <c r="AC155" s="8" t="s">
        <v>1884</v>
      </c>
      <c r="AD155" s="7" t="s">
        <v>1885</v>
      </c>
      <c r="AE155" s="7" t="s">
        <v>1886</v>
      </c>
      <c r="AF155" s="7"/>
      <c r="AG155" s="7" t="s">
        <v>1887</v>
      </c>
    </row>
    <row r="156" customFormat="false" ht="68.65" hidden="false" customHeight="false" outlineLevel="0" collapsed="false">
      <c r="A156" s="7" t="s">
        <v>1888</v>
      </c>
      <c r="B156" s="7" t="s">
        <v>811</v>
      </c>
      <c r="C156" s="7" t="s">
        <v>985</v>
      </c>
      <c r="D156" s="7" t="s">
        <v>78</v>
      </c>
      <c r="E156" s="7" t="s">
        <v>1889</v>
      </c>
      <c r="F156" s="7" t="s">
        <v>118</v>
      </c>
      <c r="G156" s="7" t="s">
        <v>306</v>
      </c>
      <c r="H156" s="7" t="s">
        <v>1762</v>
      </c>
      <c r="I156" s="7" t="s">
        <v>1890</v>
      </c>
      <c r="J156" s="7" t="s">
        <v>1891</v>
      </c>
      <c r="K156" s="7" t="s">
        <v>1892</v>
      </c>
      <c r="L156" s="7" t="s">
        <v>1893</v>
      </c>
      <c r="M156" s="7" t="s">
        <v>122</v>
      </c>
      <c r="N156" s="7"/>
      <c r="O156" s="7"/>
      <c r="P156" s="7" t="s">
        <v>1894</v>
      </c>
      <c r="Q156" s="7" t="s">
        <v>124</v>
      </c>
      <c r="R156" s="7" t="s">
        <v>1895</v>
      </c>
      <c r="S156" s="7" t="s">
        <v>1896</v>
      </c>
      <c r="T156" s="7" t="s">
        <v>109</v>
      </c>
      <c r="U156" s="7" t="s">
        <v>1897</v>
      </c>
      <c r="V156" s="8" t="s">
        <v>1898</v>
      </c>
      <c r="W156" s="7"/>
      <c r="X156" s="7"/>
      <c r="Y156" s="7" t="s">
        <v>1899</v>
      </c>
      <c r="Z156" s="7"/>
      <c r="AA156" s="7"/>
      <c r="AB156" s="7" t="s">
        <v>1900</v>
      </c>
      <c r="AC156" s="8" t="s">
        <v>1901</v>
      </c>
      <c r="AD156" s="7" t="s">
        <v>1902</v>
      </c>
      <c r="AE156" s="7" t="s">
        <v>1903</v>
      </c>
      <c r="AF156" s="7"/>
      <c r="AG156" s="7" t="s">
        <v>1904</v>
      </c>
    </row>
    <row r="157" customFormat="false" ht="35.05" hidden="false" customHeight="false" outlineLevel="0" collapsed="false">
      <c r="A157" s="7" t="s">
        <v>304</v>
      </c>
      <c r="B157" s="7" t="s">
        <v>76</v>
      </c>
      <c r="C157" s="7" t="s">
        <v>141</v>
      </c>
      <c r="D157" s="7" t="s">
        <v>78</v>
      </c>
      <c r="E157" s="7" t="s">
        <v>305</v>
      </c>
      <c r="F157" s="7" t="s">
        <v>100</v>
      </c>
      <c r="G157" s="7" t="s">
        <v>306</v>
      </c>
      <c r="H157" s="7" t="s">
        <v>307</v>
      </c>
      <c r="I157" s="7" t="s">
        <v>308</v>
      </c>
      <c r="J157" s="7" t="s">
        <v>309</v>
      </c>
      <c r="K157" s="7" t="s">
        <v>85</v>
      </c>
      <c r="L157" s="7" t="s">
        <v>310</v>
      </c>
      <c r="M157" s="7" t="s">
        <v>87</v>
      </c>
      <c r="N157" s="7"/>
      <c r="O157" s="7"/>
      <c r="P157" s="7" t="s">
        <v>88</v>
      </c>
      <c r="Q157" s="7" t="s">
        <v>144</v>
      </c>
      <c r="R157" s="7" t="s">
        <v>311</v>
      </c>
      <c r="S157" s="7" t="s">
        <v>312</v>
      </c>
      <c r="T157" s="7" t="s">
        <v>109</v>
      </c>
      <c r="U157" s="7" t="s">
        <v>313</v>
      </c>
      <c r="V157" s="8" t="s">
        <v>314</v>
      </c>
      <c r="W157" s="7"/>
      <c r="X157" s="7"/>
      <c r="Y157" s="7"/>
      <c r="Z157" s="7"/>
      <c r="AA157" s="7"/>
      <c r="AB157" s="7"/>
      <c r="AC157" s="8" t="s">
        <v>314</v>
      </c>
      <c r="AD157" s="7" t="s">
        <v>315</v>
      </c>
      <c r="AE157" s="7"/>
      <c r="AF157" s="7"/>
      <c r="AG157" s="7" t="s">
        <v>96</v>
      </c>
    </row>
    <row r="158" customFormat="false" ht="46.25" hidden="false" customHeight="false" outlineLevel="0" collapsed="false">
      <c r="A158" s="7" t="s">
        <v>535</v>
      </c>
      <c r="B158" s="7" t="s">
        <v>76</v>
      </c>
      <c r="C158" s="7" t="s">
        <v>141</v>
      </c>
      <c r="D158" s="7" t="s">
        <v>98</v>
      </c>
      <c r="E158" s="7" t="s">
        <v>536</v>
      </c>
      <c r="F158" s="7" t="s">
        <v>80</v>
      </c>
      <c r="G158" s="7" t="s">
        <v>101</v>
      </c>
      <c r="H158" s="7" t="s">
        <v>318</v>
      </c>
      <c r="I158" s="7" t="s">
        <v>319</v>
      </c>
      <c r="J158" s="7"/>
      <c r="K158" s="7" t="s">
        <v>85</v>
      </c>
      <c r="L158" s="7" t="s">
        <v>537</v>
      </c>
      <c r="M158" s="7" t="s">
        <v>87</v>
      </c>
      <c r="N158" s="7"/>
      <c r="O158" s="7"/>
      <c r="P158" s="7" t="s">
        <v>106</v>
      </c>
      <c r="Q158" s="7" t="s">
        <v>144</v>
      </c>
      <c r="R158" s="7" t="s">
        <v>538</v>
      </c>
      <c r="S158" s="7"/>
      <c r="T158" s="7" t="s">
        <v>92</v>
      </c>
      <c r="U158" s="7"/>
      <c r="V158" s="7"/>
      <c r="W158" s="7"/>
      <c r="X158" s="7"/>
      <c r="Y158" s="7"/>
      <c r="Z158" s="7"/>
      <c r="AA158" s="7"/>
      <c r="AB158" s="7" t="s">
        <v>539</v>
      </c>
      <c r="AC158" s="8" t="s">
        <v>540</v>
      </c>
      <c r="AD158" s="7" t="s">
        <v>541</v>
      </c>
      <c r="AE158" s="7" t="s">
        <v>542</v>
      </c>
      <c r="AF158" s="7"/>
      <c r="AG158" s="7" t="s">
        <v>543</v>
      </c>
    </row>
    <row r="159" customFormat="false" ht="102.2" hidden="false" customHeight="false" outlineLevel="0" collapsed="false">
      <c r="A159" s="7" t="s">
        <v>316</v>
      </c>
      <c r="B159" s="7" t="s">
        <v>76</v>
      </c>
      <c r="C159" s="7" t="s">
        <v>141</v>
      </c>
      <c r="D159" s="7" t="s">
        <v>78</v>
      </c>
      <c r="E159" s="7" t="s">
        <v>317</v>
      </c>
      <c r="F159" s="7" t="s">
        <v>100</v>
      </c>
      <c r="G159" s="7" t="s">
        <v>101</v>
      </c>
      <c r="H159" s="7" t="s">
        <v>318</v>
      </c>
      <c r="I159" s="7" t="s">
        <v>319</v>
      </c>
      <c r="J159" s="7" t="s">
        <v>320</v>
      </c>
      <c r="K159" s="7" t="s">
        <v>85</v>
      </c>
      <c r="L159" s="7" t="s">
        <v>321</v>
      </c>
      <c r="M159" s="7" t="s">
        <v>87</v>
      </c>
      <c r="N159" s="7" t="s">
        <v>322</v>
      </c>
      <c r="O159" s="7" t="s">
        <v>323</v>
      </c>
      <c r="P159" s="7" t="s">
        <v>324</v>
      </c>
      <c r="Q159" s="7" t="s">
        <v>325</v>
      </c>
      <c r="R159" s="7" t="s">
        <v>326</v>
      </c>
      <c r="S159" s="7" t="s">
        <v>327</v>
      </c>
      <c r="T159" s="7" t="s">
        <v>109</v>
      </c>
      <c r="U159" s="7" t="s">
        <v>328</v>
      </c>
      <c r="V159" s="8" t="s">
        <v>329</v>
      </c>
      <c r="W159" s="7"/>
      <c r="X159" s="7"/>
      <c r="Y159" s="7"/>
      <c r="Z159" s="7"/>
      <c r="AA159" s="7"/>
      <c r="AB159" s="7"/>
      <c r="AC159" s="8" t="s">
        <v>330</v>
      </c>
      <c r="AD159" s="7" t="s">
        <v>331</v>
      </c>
      <c r="AE159" s="7" t="s">
        <v>332</v>
      </c>
      <c r="AF159" s="7"/>
      <c r="AG159" s="7" t="s">
        <v>333</v>
      </c>
    </row>
    <row r="160" customFormat="false" ht="124.6" hidden="false" customHeight="false" outlineLevel="0" collapsed="false">
      <c r="A160" s="7" t="s">
        <v>334</v>
      </c>
      <c r="B160" s="7" t="s">
        <v>76</v>
      </c>
      <c r="C160" s="7" t="s">
        <v>141</v>
      </c>
      <c r="D160" s="7" t="s">
        <v>78</v>
      </c>
      <c r="E160" s="7" t="s">
        <v>335</v>
      </c>
      <c r="F160" s="7" t="s">
        <v>100</v>
      </c>
      <c r="G160" s="7" t="s">
        <v>101</v>
      </c>
      <c r="H160" s="7" t="s">
        <v>318</v>
      </c>
      <c r="I160" s="7" t="s">
        <v>319</v>
      </c>
      <c r="J160" s="7" t="s">
        <v>336</v>
      </c>
      <c r="K160" s="7" t="s">
        <v>337</v>
      </c>
      <c r="L160" s="7" t="s">
        <v>338</v>
      </c>
      <c r="M160" s="7" t="s">
        <v>87</v>
      </c>
      <c r="N160" s="7" t="s">
        <v>339</v>
      </c>
      <c r="O160" s="7" t="s">
        <v>340</v>
      </c>
      <c r="P160" s="7" t="s">
        <v>341</v>
      </c>
      <c r="Q160" s="7" t="s">
        <v>342</v>
      </c>
      <c r="R160" s="7" t="s">
        <v>343</v>
      </c>
      <c r="S160" s="7" t="s">
        <v>344</v>
      </c>
      <c r="T160" s="7" t="s">
        <v>92</v>
      </c>
      <c r="U160" s="7"/>
      <c r="V160" s="7"/>
      <c r="W160" s="7"/>
      <c r="X160" s="7"/>
      <c r="Y160" s="7"/>
      <c r="Z160" s="7"/>
      <c r="AA160" s="7"/>
      <c r="AB160" s="7" t="s">
        <v>345</v>
      </c>
      <c r="AC160" s="8" t="s">
        <v>346</v>
      </c>
      <c r="AD160" s="7" t="s">
        <v>347</v>
      </c>
      <c r="AE160" s="7" t="s">
        <v>348</v>
      </c>
      <c r="AF160" s="7"/>
      <c r="AG160" s="7" t="s">
        <v>349</v>
      </c>
    </row>
    <row r="161" customFormat="false" ht="46.25" hidden="false" customHeight="false" outlineLevel="0" collapsed="false">
      <c r="A161" s="7" t="s">
        <v>350</v>
      </c>
      <c r="B161" s="7" t="s">
        <v>76</v>
      </c>
      <c r="C161" s="7" t="s">
        <v>141</v>
      </c>
      <c r="D161" s="7" t="s">
        <v>78</v>
      </c>
      <c r="E161" s="7" t="s">
        <v>351</v>
      </c>
      <c r="F161" s="7" t="s">
        <v>80</v>
      </c>
      <c r="G161" s="7" t="s">
        <v>101</v>
      </c>
      <c r="H161" s="7" t="s">
        <v>318</v>
      </c>
      <c r="I161" s="7" t="s">
        <v>319</v>
      </c>
      <c r="J161" s="7" t="s">
        <v>352</v>
      </c>
      <c r="K161" s="7" t="s">
        <v>85</v>
      </c>
      <c r="L161" s="7" t="s">
        <v>353</v>
      </c>
      <c r="M161" s="7" t="s">
        <v>87</v>
      </c>
      <c r="N161" s="7" t="s">
        <v>354</v>
      </c>
      <c r="O161" s="7" t="s">
        <v>355</v>
      </c>
      <c r="P161" s="7" t="s">
        <v>356</v>
      </c>
      <c r="Q161" s="7" t="s">
        <v>357</v>
      </c>
      <c r="R161" s="7" t="s">
        <v>358</v>
      </c>
      <c r="S161" s="7" t="s">
        <v>359</v>
      </c>
      <c r="T161" s="7" t="s">
        <v>92</v>
      </c>
      <c r="U161" s="7"/>
      <c r="V161" s="7"/>
      <c r="W161" s="7"/>
      <c r="X161" s="7"/>
      <c r="Y161" s="7"/>
      <c r="Z161" s="7"/>
      <c r="AA161" s="8" t="s">
        <v>360</v>
      </c>
      <c r="AB161" s="7" t="s">
        <v>361</v>
      </c>
      <c r="AC161" s="8" t="s">
        <v>362</v>
      </c>
      <c r="AD161" s="7" t="s">
        <v>245</v>
      </c>
      <c r="AE161" s="7" t="s">
        <v>363</v>
      </c>
      <c r="AF161" s="7"/>
      <c r="AG161" s="7" t="s">
        <v>364</v>
      </c>
    </row>
    <row r="162" customFormat="false" ht="23.85" hidden="false" customHeight="false" outlineLevel="0" collapsed="false">
      <c r="A162" s="7" t="s">
        <v>1905</v>
      </c>
      <c r="B162" s="7" t="s">
        <v>116</v>
      </c>
      <c r="C162" s="7" t="s">
        <v>985</v>
      </c>
      <c r="D162" s="7" t="s">
        <v>98</v>
      </c>
      <c r="E162" s="7" t="s">
        <v>1906</v>
      </c>
      <c r="F162" s="7" t="s">
        <v>80</v>
      </c>
      <c r="G162" s="7" t="s">
        <v>101</v>
      </c>
      <c r="H162" s="7" t="s">
        <v>318</v>
      </c>
      <c r="I162" s="7" t="s">
        <v>319</v>
      </c>
      <c r="J162" s="7" t="s">
        <v>1907</v>
      </c>
      <c r="K162" s="7" t="s">
        <v>85</v>
      </c>
      <c r="L162" s="7" t="s">
        <v>105</v>
      </c>
      <c r="M162" s="7" t="s">
        <v>87</v>
      </c>
      <c r="N162" s="7"/>
      <c r="O162" s="7"/>
      <c r="P162" s="7" t="s">
        <v>106</v>
      </c>
      <c r="Q162" s="7" t="s">
        <v>988</v>
      </c>
      <c r="R162" s="7" t="s">
        <v>1908</v>
      </c>
      <c r="S162" s="7"/>
      <c r="T162" s="7" t="s">
        <v>109</v>
      </c>
      <c r="U162" s="7" t="s">
        <v>1909</v>
      </c>
      <c r="V162" s="8" t="s">
        <v>1910</v>
      </c>
      <c r="W162" s="7"/>
      <c r="X162" s="7"/>
      <c r="Y162" s="7"/>
      <c r="Z162" s="7"/>
      <c r="AA162" s="7"/>
      <c r="AB162" s="7"/>
      <c r="AC162" s="8" t="s">
        <v>1910</v>
      </c>
      <c r="AD162" s="7"/>
      <c r="AE162" s="7"/>
      <c r="AF162" s="7"/>
      <c r="AG162" s="7"/>
    </row>
    <row r="163" customFormat="false" ht="23.85" hidden="false" customHeight="false" outlineLevel="0" collapsed="false">
      <c r="A163" s="7" t="s">
        <v>737</v>
      </c>
      <c r="B163" s="7" t="s">
        <v>116</v>
      </c>
      <c r="C163" s="7" t="s">
        <v>141</v>
      </c>
      <c r="D163" s="7" t="s">
        <v>98</v>
      </c>
      <c r="E163" s="7" t="s">
        <v>738</v>
      </c>
      <c r="F163" s="7" t="s">
        <v>257</v>
      </c>
      <c r="G163" s="7" t="s">
        <v>101</v>
      </c>
      <c r="H163" s="7" t="s">
        <v>318</v>
      </c>
      <c r="I163" s="7" t="s">
        <v>319</v>
      </c>
      <c r="J163" s="7" t="s">
        <v>739</v>
      </c>
      <c r="K163" s="7" t="s">
        <v>85</v>
      </c>
      <c r="L163" s="7" t="s">
        <v>740</v>
      </c>
      <c r="M163" s="7" t="s">
        <v>87</v>
      </c>
      <c r="N163" s="7"/>
      <c r="O163" s="7" t="s">
        <v>741</v>
      </c>
      <c r="P163" s="7" t="s">
        <v>742</v>
      </c>
      <c r="Q163" s="7" t="s">
        <v>743</v>
      </c>
      <c r="R163" s="7" t="s">
        <v>744</v>
      </c>
      <c r="S163" s="7" t="s">
        <v>745</v>
      </c>
      <c r="T163" s="7" t="s">
        <v>92</v>
      </c>
      <c r="U163" s="7"/>
      <c r="V163" s="7"/>
      <c r="W163" s="7"/>
      <c r="X163" s="7"/>
      <c r="Y163" s="7"/>
      <c r="Z163" s="7"/>
      <c r="AA163" s="7"/>
      <c r="AB163" s="7" t="s">
        <v>746</v>
      </c>
      <c r="AC163" s="8" t="s">
        <v>540</v>
      </c>
      <c r="AD163" s="7"/>
      <c r="AE163" s="7"/>
      <c r="AF163" s="7"/>
      <c r="AG163" s="7" t="s">
        <v>747</v>
      </c>
    </row>
    <row r="164" customFormat="false" ht="23.85" hidden="false" customHeight="false" outlineLevel="0" collapsed="false">
      <c r="A164" s="7" t="s">
        <v>1911</v>
      </c>
      <c r="B164" s="7" t="s">
        <v>116</v>
      </c>
      <c r="C164" s="7" t="s">
        <v>985</v>
      </c>
      <c r="D164" s="7" t="s">
        <v>98</v>
      </c>
      <c r="E164" s="7" t="s">
        <v>1912</v>
      </c>
      <c r="F164" s="7" t="s">
        <v>80</v>
      </c>
      <c r="G164" s="7" t="s">
        <v>101</v>
      </c>
      <c r="H164" s="7" t="s">
        <v>318</v>
      </c>
      <c r="I164" s="7" t="s">
        <v>319</v>
      </c>
      <c r="J164" s="7" t="s">
        <v>1913</v>
      </c>
      <c r="K164" s="7" t="s">
        <v>85</v>
      </c>
      <c r="L164" s="7" t="s">
        <v>105</v>
      </c>
      <c r="M164" s="7" t="s">
        <v>87</v>
      </c>
      <c r="N164" s="7"/>
      <c r="O164" s="7"/>
      <c r="P164" s="7" t="s">
        <v>106</v>
      </c>
      <c r="Q164" s="7" t="s">
        <v>988</v>
      </c>
      <c r="R164" s="7" t="s">
        <v>1914</v>
      </c>
      <c r="S164" s="7" t="s">
        <v>1286</v>
      </c>
      <c r="T164" s="7" t="s">
        <v>109</v>
      </c>
      <c r="U164" s="7" t="s">
        <v>1915</v>
      </c>
      <c r="V164" s="8" t="s">
        <v>1916</v>
      </c>
      <c r="W164" s="7"/>
      <c r="X164" s="7"/>
      <c r="Y164" s="7"/>
      <c r="Z164" s="7"/>
      <c r="AA164" s="7"/>
      <c r="AB164" s="7"/>
      <c r="AC164" s="8" t="s">
        <v>1916</v>
      </c>
      <c r="AD164" s="7"/>
      <c r="AE164" s="7" t="s">
        <v>1917</v>
      </c>
      <c r="AF164" s="7"/>
      <c r="AG164" s="7" t="s">
        <v>1918</v>
      </c>
    </row>
    <row r="165" customFormat="false" ht="68.65" hidden="false" customHeight="false" outlineLevel="0" collapsed="false">
      <c r="A165" s="7" t="s">
        <v>1919</v>
      </c>
      <c r="B165" s="7" t="s">
        <v>116</v>
      </c>
      <c r="C165" s="7" t="s">
        <v>985</v>
      </c>
      <c r="D165" s="7" t="s">
        <v>78</v>
      </c>
      <c r="E165" s="7" t="s">
        <v>1920</v>
      </c>
      <c r="F165" s="7" t="s">
        <v>80</v>
      </c>
      <c r="G165" s="7" t="s">
        <v>101</v>
      </c>
      <c r="H165" s="7" t="s">
        <v>318</v>
      </c>
      <c r="I165" s="7" t="s">
        <v>319</v>
      </c>
      <c r="J165" s="7" t="s">
        <v>1921</v>
      </c>
      <c r="K165" s="7" t="s">
        <v>85</v>
      </c>
      <c r="L165" s="7" t="s">
        <v>1922</v>
      </c>
      <c r="M165" s="7" t="s">
        <v>87</v>
      </c>
      <c r="N165" s="7" t="s">
        <v>1923</v>
      </c>
      <c r="O165" s="7"/>
      <c r="P165" s="7" t="s">
        <v>88</v>
      </c>
      <c r="Q165" s="7" t="s">
        <v>988</v>
      </c>
      <c r="R165" s="7" t="s">
        <v>1924</v>
      </c>
      <c r="S165" s="7" t="s">
        <v>199</v>
      </c>
      <c r="T165" s="7" t="s">
        <v>109</v>
      </c>
      <c r="U165" s="7" t="s">
        <v>1925</v>
      </c>
      <c r="V165" s="8" t="s">
        <v>1926</v>
      </c>
      <c r="W165" s="7"/>
      <c r="X165" s="7"/>
      <c r="Y165" s="7"/>
      <c r="Z165" s="7"/>
      <c r="AA165" s="7"/>
      <c r="AB165" s="7"/>
      <c r="AC165" s="8" t="s">
        <v>1926</v>
      </c>
      <c r="AD165" s="7"/>
      <c r="AE165" s="7" t="s">
        <v>1927</v>
      </c>
      <c r="AF165" s="7"/>
      <c r="AG165" s="7" t="s">
        <v>1928</v>
      </c>
    </row>
    <row r="166" customFormat="false" ht="79.85" hidden="false" customHeight="false" outlineLevel="0" collapsed="false">
      <c r="A166" s="7" t="s">
        <v>1929</v>
      </c>
      <c r="B166" s="7" t="s">
        <v>116</v>
      </c>
      <c r="C166" s="7" t="s">
        <v>985</v>
      </c>
      <c r="D166" s="7" t="s">
        <v>78</v>
      </c>
      <c r="E166" s="7" t="s">
        <v>1930</v>
      </c>
      <c r="F166" s="7" t="s">
        <v>100</v>
      </c>
      <c r="G166" s="7" t="s">
        <v>101</v>
      </c>
      <c r="H166" s="7" t="s">
        <v>318</v>
      </c>
      <c r="I166" s="7" t="s">
        <v>319</v>
      </c>
      <c r="J166" s="7" t="s">
        <v>1931</v>
      </c>
      <c r="K166" s="7" t="s">
        <v>85</v>
      </c>
      <c r="L166" s="7" t="s">
        <v>105</v>
      </c>
      <c r="M166" s="7" t="s">
        <v>87</v>
      </c>
      <c r="N166" s="7"/>
      <c r="O166" s="7"/>
      <c r="P166" s="7" t="s">
        <v>88</v>
      </c>
      <c r="Q166" s="7" t="s">
        <v>1932</v>
      </c>
      <c r="R166" s="7" t="s">
        <v>1933</v>
      </c>
      <c r="S166" s="7" t="s">
        <v>1934</v>
      </c>
      <c r="T166" s="7" t="s">
        <v>109</v>
      </c>
      <c r="U166" s="7" t="s">
        <v>1935</v>
      </c>
      <c r="V166" s="8" t="s">
        <v>1936</v>
      </c>
      <c r="W166" s="7"/>
      <c r="X166" s="7"/>
      <c r="Y166" s="7" t="s">
        <v>1937</v>
      </c>
      <c r="Z166" s="7"/>
      <c r="AA166" s="7"/>
      <c r="AB166" s="7"/>
      <c r="AC166" s="8" t="s">
        <v>1936</v>
      </c>
      <c r="AD166" s="7"/>
      <c r="AE166" s="7" t="s">
        <v>1938</v>
      </c>
      <c r="AF166" s="7"/>
      <c r="AG166" s="7" t="s">
        <v>1939</v>
      </c>
    </row>
    <row r="167" customFormat="false" ht="23.85" hidden="false" customHeight="false" outlineLevel="0" collapsed="false">
      <c r="A167" s="7" t="s">
        <v>1940</v>
      </c>
      <c r="B167" s="7" t="s">
        <v>811</v>
      </c>
      <c r="C167" s="7" t="s">
        <v>985</v>
      </c>
      <c r="D167" s="7" t="s">
        <v>98</v>
      </c>
      <c r="E167" s="7" t="s">
        <v>1941</v>
      </c>
      <c r="F167" s="7" t="s">
        <v>80</v>
      </c>
      <c r="G167" s="7" t="s">
        <v>101</v>
      </c>
      <c r="H167" s="7" t="s">
        <v>318</v>
      </c>
      <c r="I167" s="7" t="s">
        <v>319</v>
      </c>
      <c r="J167" s="7" t="s">
        <v>1942</v>
      </c>
      <c r="K167" s="7" t="s">
        <v>85</v>
      </c>
      <c r="L167" s="7" t="s">
        <v>1943</v>
      </c>
      <c r="M167" s="7" t="s">
        <v>87</v>
      </c>
      <c r="N167" s="7" t="s">
        <v>1944</v>
      </c>
      <c r="O167" s="7"/>
      <c r="P167" s="7" t="s">
        <v>106</v>
      </c>
      <c r="Q167" s="7" t="s">
        <v>988</v>
      </c>
      <c r="R167" s="7" t="s">
        <v>1945</v>
      </c>
      <c r="S167" s="7"/>
      <c r="T167" s="7" t="s">
        <v>109</v>
      </c>
      <c r="U167" s="7" t="s">
        <v>1946</v>
      </c>
      <c r="V167" s="8" t="s">
        <v>1947</v>
      </c>
      <c r="W167" s="7"/>
      <c r="X167" s="7"/>
      <c r="Y167" s="7"/>
      <c r="Z167" s="7"/>
      <c r="AA167" s="7"/>
      <c r="AB167" s="7"/>
      <c r="AC167" s="8" t="s">
        <v>1947</v>
      </c>
      <c r="AD167" s="7"/>
      <c r="AE167" s="7" t="s">
        <v>1119</v>
      </c>
      <c r="AF167" s="7"/>
      <c r="AG167" s="7" t="s">
        <v>1948</v>
      </c>
    </row>
    <row r="168" customFormat="false" ht="35.05" hidden="false" customHeight="false" outlineLevel="0" collapsed="false">
      <c r="A168" s="7" t="s">
        <v>1949</v>
      </c>
      <c r="B168" s="7" t="s">
        <v>811</v>
      </c>
      <c r="C168" s="7" t="s">
        <v>985</v>
      </c>
      <c r="D168" s="7" t="s">
        <v>98</v>
      </c>
      <c r="E168" s="7" t="s">
        <v>1950</v>
      </c>
      <c r="F168" s="7" t="s">
        <v>257</v>
      </c>
      <c r="G168" s="7" t="s">
        <v>101</v>
      </c>
      <c r="H168" s="7" t="s">
        <v>318</v>
      </c>
      <c r="I168" s="7" t="s">
        <v>319</v>
      </c>
      <c r="J168" s="7" t="s">
        <v>1951</v>
      </c>
      <c r="K168" s="7" t="s">
        <v>85</v>
      </c>
      <c r="L168" s="7" t="s">
        <v>1952</v>
      </c>
      <c r="M168" s="7" t="s">
        <v>87</v>
      </c>
      <c r="N168" s="7" t="s">
        <v>1953</v>
      </c>
      <c r="O168" s="7"/>
      <c r="P168" s="7" t="s">
        <v>106</v>
      </c>
      <c r="Q168" s="7" t="s">
        <v>988</v>
      </c>
      <c r="R168" s="7" t="s">
        <v>1954</v>
      </c>
      <c r="S168" s="7" t="s">
        <v>756</v>
      </c>
      <c r="T168" s="7" t="s">
        <v>109</v>
      </c>
      <c r="U168" s="7" t="s">
        <v>1955</v>
      </c>
      <c r="V168" s="8" t="s">
        <v>1956</v>
      </c>
      <c r="W168" s="7"/>
      <c r="X168" s="7"/>
      <c r="Y168" s="7"/>
      <c r="Z168" s="7"/>
      <c r="AA168" s="7"/>
      <c r="AB168" s="7"/>
      <c r="AC168" s="8" t="s">
        <v>1956</v>
      </c>
      <c r="AD168" s="7"/>
      <c r="AE168" s="7"/>
      <c r="AF168" s="7"/>
      <c r="AG168" s="7" t="s">
        <v>96</v>
      </c>
    </row>
    <row r="169" customFormat="false" ht="57.45" hidden="false" customHeight="false" outlineLevel="0" collapsed="false">
      <c r="A169" s="7" t="s">
        <v>1957</v>
      </c>
      <c r="B169" s="7" t="s">
        <v>811</v>
      </c>
      <c r="C169" s="7" t="s">
        <v>985</v>
      </c>
      <c r="D169" s="7" t="s">
        <v>78</v>
      </c>
      <c r="E169" s="7" t="s">
        <v>1958</v>
      </c>
      <c r="F169" s="7" t="s">
        <v>118</v>
      </c>
      <c r="G169" s="7" t="s">
        <v>101</v>
      </c>
      <c r="H169" s="7" t="s">
        <v>318</v>
      </c>
      <c r="I169" s="7" t="s">
        <v>319</v>
      </c>
      <c r="J169" s="7" t="s">
        <v>1959</v>
      </c>
      <c r="K169" s="7" t="s">
        <v>121</v>
      </c>
      <c r="L169" s="7" t="s">
        <v>105</v>
      </c>
      <c r="M169" s="7" t="s">
        <v>122</v>
      </c>
      <c r="N169" s="7"/>
      <c r="O169" s="7"/>
      <c r="P169" s="7" t="s">
        <v>123</v>
      </c>
      <c r="Q169" s="7" t="s">
        <v>124</v>
      </c>
      <c r="R169" s="7" t="s">
        <v>1960</v>
      </c>
      <c r="S169" s="7" t="s">
        <v>1961</v>
      </c>
      <c r="T169" s="7" t="s">
        <v>67</v>
      </c>
      <c r="U169" s="7"/>
      <c r="V169" s="7"/>
      <c r="W169" s="7"/>
      <c r="X169" s="7"/>
      <c r="Y169" s="7"/>
      <c r="Z169" s="8" t="s">
        <v>1962</v>
      </c>
      <c r="AA169" s="7"/>
      <c r="AB169" s="7"/>
      <c r="AC169" s="8" t="s">
        <v>1963</v>
      </c>
      <c r="AD169" s="7" t="s">
        <v>1964</v>
      </c>
      <c r="AE169" s="7" t="s">
        <v>1965</v>
      </c>
      <c r="AF169" s="7" t="s">
        <v>1966</v>
      </c>
      <c r="AG169" s="7" t="s">
        <v>1967</v>
      </c>
    </row>
    <row r="170" customFormat="false" ht="57.45" hidden="false" customHeight="false" outlineLevel="0" collapsed="false">
      <c r="A170" s="7" t="s">
        <v>1968</v>
      </c>
      <c r="B170" s="7" t="s">
        <v>116</v>
      </c>
      <c r="C170" s="7" t="s">
        <v>985</v>
      </c>
      <c r="D170" s="7" t="s">
        <v>78</v>
      </c>
      <c r="E170" s="7" t="s">
        <v>1969</v>
      </c>
      <c r="F170" s="7" t="s">
        <v>80</v>
      </c>
      <c r="G170" s="7" t="s">
        <v>101</v>
      </c>
      <c r="H170" s="7" t="s">
        <v>318</v>
      </c>
      <c r="I170" s="7" t="s">
        <v>1970</v>
      </c>
      <c r="J170" s="7" t="s">
        <v>1971</v>
      </c>
      <c r="K170" s="7" t="s">
        <v>85</v>
      </c>
      <c r="L170" s="7" t="s">
        <v>105</v>
      </c>
      <c r="M170" s="7" t="s">
        <v>87</v>
      </c>
      <c r="N170" s="7"/>
      <c r="O170" s="7"/>
      <c r="P170" s="7" t="s">
        <v>88</v>
      </c>
      <c r="Q170" s="7" t="s">
        <v>988</v>
      </c>
      <c r="R170" s="7" t="s">
        <v>1972</v>
      </c>
      <c r="S170" s="7" t="s">
        <v>1973</v>
      </c>
      <c r="T170" s="7" t="s">
        <v>92</v>
      </c>
      <c r="U170" s="7"/>
      <c r="V170" s="7"/>
      <c r="W170" s="7"/>
      <c r="X170" s="7"/>
      <c r="Y170" s="7"/>
      <c r="Z170" s="7"/>
      <c r="AA170" s="7"/>
      <c r="AB170" s="7"/>
      <c r="AC170" s="8" t="s">
        <v>1974</v>
      </c>
      <c r="AD170" s="7" t="s">
        <v>1575</v>
      </c>
      <c r="AE170" s="7" t="s">
        <v>1975</v>
      </c>
      <c r="AF170" s="7"/>
      <c r="AG170" s="7" t="s">
        <v>1976</v>
      </c>
    </row>
    <row r="171" customFormat="false" ht="23.85" hidden="false" customHeight="false" outlineLevel="0" collapsed="false">
      <c r="A171" s="7" t="s">
        <v>1977</v>
      </c>
      <c r="B171" s="7" t="s">
        <v>811</v>
      </c>
      <c r="C171" s="7" t="s">
        <v>985</v>
      </c>
      <c r="D171" s="7" t="s">
        <v>98</v>
      </c>
      <c r="E171" s="7" t="s">
        <v>1978</v>
      </c>
      <c r="F171" s="7" t="s">
        <v>80</v>
      </c>
      <c r="G171" s="7" t="s">
        <v>101</v>
      </c>
      <c r="H171" s="7" t="s">
        <v>318</v>
      </c>
      <c r="I171" s="7" t="s">
        <v>1970</v>
      </c>
      <c r="J171" s="7"/>
      <c r="K171" s="7" t="s">
        <v>85</v>
      </c>
      <c r="L171" s="7" t="s">
        <v>1979</v>
      </c>
      <c r="M171" s="7" t="s">
        <v>87</v>
      </c>
      <c r="N171" s="7"/>
      <c r="O171" s="7"/>
      <c r="P171" s="7" t="s">
        <v>106</v>
      </c>
      <c r="Q171" s="7" t="s">
        <v>988</v>
      </c>
      <c r="R171" s="7" t="s">
        <v>1980</v>
      </c>
      <c r="S171" s="7" t="s">
        <v>756</v>
      </c>
      <c r="T171" s="7" t="s">
        <v>92</v>
      </c>
      <c r="U171" s="7"/>
      <c r="V171" s="7"/>
      <c r="W171" s="7"/>
      <c r="X171" s="7"/>
      <c r="Y171" s="7"/>
      <c r="Z171" s="7"/>
      <c r="AA171" s="7"/>
      <c r="AB171" s="7"/>
      <c r="AC171" s="8" t="s">
        <v>1974</v>
      </c>
      <c r="AD171" s="7"/>
      <c r="AE171" s="7"/>
      <c r="AF171" s="7"/>
      <c r="AG171" s="7" t="s">
        <v>1981</v>
      </c>
    </row>
    <row r="172" customFormat="false" ht="57.45" hidden="false" customHeight="false" outlineLevel="0" collapsed="false">
      <c r="A172" s="7" t="s">
        <v>1982</v>
      </c>
      <c r="B172" s="7" t="s">
        <v>116</v>
      </c>
      <c r="C172" s="7" t="s">
        <v>985</v>
      </c>
      <c r="D172" s="7" t="s">
        <v>78</v>
      </c>
      <c r="E172" s="7" t="s">
        <v>1983</v>
      </c>
      <c r="F172" s="7" t="s">
        <v>80</v>
      </c>
      <c r="G172" s="7" t="s">
        <v>101</v>
      </c>
      <c r="H172" s="7" t="s">
        <v>318</v>
      </c>
      <c r="I172" s="7" t="s">
        <v>1984</v>
      </c>
      <c r="J172" s="7" t="s">
        <v>1985</v>
      </c>
      <c r="K172" s="7" t="s">
        <v>85</v>
      </c>
      <c r="L172" s="7" t="s">
        <v>1986</v>
      </c>
      <c r="M172" s="7" t="s">
        <v>87</v>
      </c>
      <c r="N172" s="7" t="s">
        <v>1987</v>
      </c>
      <c r="O172" s="7"/>
      <c r="P172" s="7" t="s">
        <v>88</v>
      </c>
      <c r="Q172" s="7" t="s">
        <v>988</v>
      </c>
      <c r="R172" s="7" t="s">
        <v>1988</v>
      </c>
      <c r="S172" s="7" t="s">
        <v>1989</v>
      </c>
      <c r="T172" s="7" t="s">
        <v>109</v>
      </c>
      <c r="U172" s="7" t="s">
        <v>1990</v>
      </c>
      <c r="V172" s="8" t="s">
        <v>1991</v>
      </c>
      <c r="W172" s="7"/>
      <c r="X172" s="7"/>
      <c r="Y172" s="7"/>
      <c r="Z172" s="7"/>
      <c r="AA172" s="7"/>
      <c r="AB172" s="7"/>
      <c r="AC172" s="8" t="s">
        <v>1992</v>
      </c>
      <c r="AD172" s="7"/>
      <c r="AE172" s="7" t="s">
        <v>1993</v>
      </c>
      <c r="AF172" s="7" t="s">
        <v>1994</v>
      </c>
      <c r="AG172" s="7" t="s">
        <v>1995</v>
      </c>
    </row>
    <row r="173" customFormat="false" ht="57.45" hidden="false" customHeight="false" outlineLevel="0" collapsed="false">
      <c r="A173" s="7" t="s">
        <v>1996</v>
      </c>
      <c r="B173" s="7" t="s">
        <v>811</v>
      </c>
      <c r="C173" s="7" t="s">
        <v>985</v>
      </c>
      <c r="D173" s="7" t="s">
        <v>78</v>
      </c>
      <c r="E173" s="7" t="s">
        <v>1997</v>
      </c>
      <c r="F173" s="7" t="s">
        <v>80</v>
      </c>
      <c r="G173" s="7" t="s">
        <v>101</v>
      </c>
      <c r="H173" s="7" t="s">
        <v>318</v>
      </c>
      <c r="I173" s="7" t="s">
        <v>1984</v>
      </c>
      <c r="J173" s="7"/>
      <c r="K173" s="7" t="s">
        <v>85</v>
      </c>
      <c r="L173" s="7" t="s">
        <v>105</v>
      </c>
      <c r="M173" s="7" t="s">
        <v>87</v>
      </c>
      <c r="N173" s="7"/>
      <c r="O173" s="7"/>
      <c r="P173" s="7" t="s">
        <v>88</v>
      </c>
      <c r="Q173" s="7" t="s">
        <v>988</v>
      </c>
      <c r="R173" s="7" t="s">
        <v>1998</v>
      </c>
      <c r="S173" s="7" t="s">
        <v>1999</v>
      </c>
      <c r="T173" s="7" t="s">
        <v>92</v>
      </c>
      <c r="U173" s="7"/>
      <c r="V173" s="7"/>
      <c r="W173" s="7"/>
      <c r="X173" s="7"/>
      <c r="Y173" s="7"/>
      <c r="Z173" s="7"/>
      <c r="AA173" s="7"/>
      <c r="AB173" s="7"/>
      <c r="AC173" s="8" t="s">
        <v>1992</v>
      </c>
      <c r="AD173" s="7" t="s">
        <v>2000</v>
      </c>
      <c r="AE173" s="7"/>
      <c r="AF173" s="7"/>
      <c r="AG173" s="7" t="s">
        <v>767</v>
      </c>
    </row>
    <row r="174" customFormat="false" ht="35.05" hidden="false" customHeight="false" outlineLevel="0" collapsed="false">
      <c r="A174" s="7" t="s">
        <v>544</v>
      </c>
      <c r="B174" s="7" t="s">
        <v>76</v>
      </c>
      <c r="C174" s="7" t="s">
        <v>141</v>
      </c>
      <c r="D174" s="7" t="s">
        <v>98</v>
      </c>
      <c r="E174" s="7" t="s">
        <v>545</v>
      </c>
      <c r="F174" s="7" t="s">
        <v>80</v>
      </c>
      <c r="G174" s="7" t="s">
        <v>101</v>
      </c>
      <c r="H174" s="7" t="s">
        <v>102</v>
      </c>
      <c r="I174" s="7" t="s">
        <v>103</v>
      </c>
      <c r="J174" s="7" t="s">
        <v>546</v>
      </c>
      <c r="K174" s="7" t="s">
        <v>85</v>
      </c>
      <c r="L174" s="7" t="s">
        <v>547</v>
      </c>
      <c r="M174" s="7" t="s">
        <v>87</v>
      </c>
      <c r="N174" s="7" t="s">
        <v>490</v>
      </c>
      <c r="O174" s="7"/>
      <c r="P174" s="7" t="s">
        <v>106</v>
      </c>
      <c r="Q174" s="7" t="s">
        <v>144</v>
      </c>
      <c r="R174" s="7" t="s">
        <v>548</v>
      </c>
      <c r="S174" s="7" t="s">
        <v>549</v>
      </c>
      <c r="T174" s="7" t="s">
        <v>92</v>
      </c>
      <c r="U174" s="7"/>
      <c r="V174" s="7"/>
      <c r="W174" s="7"/>
      <c r="X174" s="7"/>
      <c r="Y174" s="7"/>
      <c r="Z174" s="7"/>
      <c r="AA174" s="7"/>
      <c r="AB174" s="7"/>
      <c r="AC174" s="8" t="s">
        <v>550</v>
      </c>
      <c r="AD174" s="7" t="s">
        <v>245</v>
      </c>
      <c r="AE174" s="7"/>
      <c r="AF174" s="7"/>
      <c r="AG174" s="7" t="s">
        <v>96</v>
      </c>
    </row>
    <row r="175" customFormat="false" ht="57.45" hidden="false" customHeight="false" outlineLevel="0" collapsed="false">
      <c r="A175" s="7" t="s">
        <v>97</v>
      </c>
      <c r="B175" s="7" t="s">
        <v>76</v>
      </c>
      <c r="C175" s="7" t="s">
        <v>77</v>
      </c>
      <c r="D175" s="7" t="s">
        <v>98</v>
      </c>
      <c r="E175" s="7" t="s">
        <v>99</v>
      </c>
      <c r="F175" s="7" t="s">
        <v>100</v>
      </c>
      <c r="G175" s="7" t="s">
        <v>101</v>
      </c>
      <c r="H175" s="7" t="s">
        <v>102</v>
      </c>
      <c r="I175" s="7" t="s">
        <v>103</v>
      </c>
      <c r="J175" s="7" t="s">
        <v>104</v>
      </c>
      <c r="K175" s="7" t="s">
        <v>85</v>
      </c>
      <c r="L175" s="7" t="s">
        <v>105</v>
      </c>
      <c r="M175" s="7" t="s">
        <v>87</v>
      </c>
      <c r="N175" s="7"/>
      <c r="O175" s="7"/>
      <c r="P175" s="7" t="s">
        <v>106</v>
      </c>
      <c r="Q175" s="7" t="s">
        <v>89</v>
      </c>
      <c r="R175" s="7" t="s">
        <v>107</v>
      </c>
      <c r="S175" s="7" t="s">
        <v>108</v>
      </c>
      <c r="T175" s="7" t="s">
        <v>109</v>
      </c>
      <c r="U175" s="7" t="s">
        <v>110</v>
      </c>
      <c r="V175" s="8" t="s">
        <v>111</v>
      </c>
      <c r="W175" s="7"/>
      <c r="X175" s="7"/>
      <c r="Y175" s="7"/>
      <c r="Z175" s="7"/>
      <c r="AA175" s="7"/>
      <c r="AB175" s="7"/>
      <c r="AC175" s="8" t="s">
        <v>111</v>
      </c>
      <c r="AD175" s="7" t="s">
        <v>112</v>
      </c>
      <c r="AE175" s="7" t="s">
        <v>113</v>
      </c>
      <c r="AF175" s="7"/>
      <c r="AG175" s="7" t="s">
        <v>114</v>
      </c>
    </row>
    <row r="176" customFormat="false" ht="57.45" hidden="false" customHeight="false" outlineLevel="0" collapsed="false">
      <c r="A176" s="7" t="s">
        <v>551</v>
      </c>
      <c r="B176" s="7" t="s">
        <v>76</v>
      </c>
      <c r="C176" s="7" t="s">
        <v>141</v>
      </c>
      <c r="D176" s="7" t="s">
        <v>98</v>
      </c>
      <c r="E176" s="7" t="s">
        <v>552</v>
      </c>
      <c r="F176" s="7" t="s">
        <v>182</v>
      </c>
      <c r="G176" s="7" t="s">
        <v>101</v>
      </c>
      <c r="H176" s="7" t="s">
        <v>102</v>
      </c>
      <c r="I176" s="7" t="s">
        <v>103</v>
      </c>
      <c r="J176" s="7" t="s">
        <v>553</v>
      </c>
      <c r="K176" s="7" t="s">
        <v>85</v>
      </c>
      <c r="L176" s="7" t="s">
        <v>554</v>
      </c>
      <c r="M176" s="7" t="s">
        <v>87</v>
      </c>
      <c r="N176" s="7"/>
      <c r="O176" s="7"/>
      <c r="P176" s="7" t="s">
        <v>106</v>
      </c>
      <c r="Q176" s="7" t="s">
        <v>144</v>
      </c>
      <c r="R176" s="7" t="s">
        <v>555</v>
      </c>
      <c r="S176" s="7"/>
      <c r="T176" s="7" t="s">
        <v>92</v>
      </c>
      <c r="U176" s="7"/>
      <c r="V176" s="7"/>
      <c r="W176" s="7"/>
      <c r="X176" s="7"/>
      <c r="Y176" s="7"/>
      <c r="Z176" s="7"/>
      <c r="AA176" s="7"/>
      <c r="AB176" s="7"/>
      <c r="AC176" s="8" t="s">
        <v>556</v>
      </c>
      <c r="AD176" s="7"/>
      <c r="AE176" s="7"/>
      <c r="AF176" s="7"/>
      <c r="AG176" s="7" t="s">
        <v>557</v>
      </c>
    </row>
    <row r="177" customFormat="false" ht="35.05" hidden="false" customHeight="false" outlineLevel="0" collapsed="false">
      <c r="A177" s="7" t="s">
        <v>558</v>
      </c>
      <c r="B177" s="7" t="s">
        <v>76</v>
      </c>
      <c r="C177" s="7" t="s">
        <v>141</v>
      </c>
      <c r="D177" s="7" t="s">
        <v>98</v>
      </c>
      <c r="E177" s="7" t="s">
        <v>559</v>
      </c>
      <c r="F177" s="7" t="s">
        <v>257</v>
      </c>
      <c r="G177" s="7" t="s">
        <v>101</v>
      </c>
      <c r="H177" s="7" t="s">
        <v>102</v>
      </c>
      <c r="I177" s="7" t="s">
        <v>103</v>
      </c>
      <c r="J177" s="7" t="s">
        <v>560</v>
      </c>
      <c r="K177" s="7" t="s">
        <v>85</v>
      </c>
      <c r="L177" s="7" t="s">
        <v>105</v>
      </c>
      <c r="M177" s="7" t="s">
        <v>87</v>
      </c>
      <c r="N177" s="7"/>
      <c r="O177" s="7"/>
      <c r="P177" s="7" t="s">
        <v>106</v>
      </c>
      <c r="Q177" s="7" t="s">
        <v>144</v>
      </c>
      <c r="R177" s="7" t="s">
        <v>561</v>
      </c>
      <c r="S177" s="7"/>
      <c r="T177" s="7" t="s">
        <v>92</v>
      </c>
      <c r="U177" s="7"/>
      <c r="V177" s="7"/>
      <c r="W177" s="7"/>
      <c r="X177" s="7"/>
      <c r="Y177" s="7"/>
      <c r="Z177" s="7"/>
      <c r="AA177" s="7"/>
      <c r="AB177" s="7"/>
      <c r="AC177" s="8" t="s">
        <v>374</v>
      </c>
      <c r="AD177" s="7" t="s">
        <v>177</v>
      </c>
      <c r="AE177" s="7"/>
      <c r="AF177" s="7"/>
      <c r="AG177" s="7" t="s">
        <v>562</v>
      </c>
    </row>
    <row r="178" customFormat="false" ht="79.85" hidden="false" customHeight="false" outlineLevel="0" collapsed="false">
      <c r="A178" s="7" t="s">
        <v>365</v>
      </c>
      <c r="B178" s="7" t="s">
        <v>76</v>
      </c>
      <c r="C178" s="7" t="s">
        <v>141</v>
      </c>
      <c r="D178" s="7" t="s">
        <v>78</v>
      </c>
      <c r="E178" s="7" t="s">
        <v>366</v>
      </c>
      <c r="F178" s="7" t="s">
        <v>100</v>
      </c>
      <c r="G178" s="7" t="s">
        <v>101</v>
      </c>
      <c r="H178" s="7" t="s">
        <v>102</v>
      </c>
      <c r="I178" s="7" t="s">
        <v>103</v>
      </c>
      <c r="J178" s="7" t="s">
        <v>367</v>
      </c>
      <c r="K178" s="7" t="s">
        <v>85</v>
      </c>
      <c r="L178" s="7" t="s">
        <v>368</v>
      </c>
      <c r="M178" s="7" t="s">
        <v>87</v>
      </c>
      <c r="N178" s="7"/>
      <c r="O178" s="7"/>
      <c r="P178" s="7" t="s">
        <v>369</v>
      </c>
      <c r="Q178" s="7" t="s">
        <v>370</v>
      </c>
      <c r="R178" s="7" t="s">
        <v>371</v>
      </c>
      <c r="S178" s="7" t="s">
        <v>372</v>
      </c>
      <c r="T178" s="7" t="s">
        <v>92</v>
      </c>
      <c r="U178" s="7"/>
      <c r="V178" s="7"/>
      <c r="W178" s="7"/>
      <c r="X178" s="7"/>
      <c r="Y178" s="7"/>
      <c r="Z178" s="7"/>
      <c r="AA178" s="7"/>
      <c r="AB178" s="7" t="s">
        <v>373</v>
      </c>
      <c r="AC178" s="8" t="s">
        <v>374</v>
      </c>
      <c r="AD178" s="7"/>
      <c r="AE178" s="7" t="s">
        <v>375</v>
      </c>
      <c r="AF178" s="7"/>
      <c r="AG178" s="7" t="s">
        <v>376</v>
      </c>
    </row>
    <row r="179" customFormat="false" ht="35.05" hidden="false" customHeight="false" outlineLevel="0" collapsed="false">
      <c r="A179" s="7" t="s">
        <v>377</v>
      </c>
      <c r="B179" s="7" t="s">
        <v>76</v>
      </c>
      <c r="C179" s="7" t="s">
        <v>141</v>
      </c>
      <c r="D179" s="7" t="s">
        <v>78</v>
      </c>
      <c r="E179" s="7" t="s">
        <v>378</v>
      </c>
      <c r="F179" s="7" t="s">
        <v>379</v>
      </c>
      <c r="G179" s="7" t="s">
        <v>101</v>
      </c>
      <c r="H179" s="7" t="s">
        <v>102</v>
      </c>
      <c r="I179" s="7" t="s">
        <v>103</v>
      </c>
      <c r="J179" s="7" t="s">
        <v>380</v>
      </c>
      <c r="K179" s="7" t="s">
        <v>85</v>
      </c>
      <c r="L179" s="7" t="s">
        <v>381</v>
      </c>
      <c r="M179" s="7" t="s">
        <v>87</v>
      </c>
      <c r="N179" s="7"/>
      <c r="O179" s="7"/>
      <c r="P179" s="7" t="s">
        <v>88</v>
      </c>
      <c r="Q179" s="7" t="s">
        <v>144</v>
      </c>
      <c r="R179" s="7" t="s">
        <v>382</v>
      </c>
      <c r="S179" s="7"/>
      <c r="T179" s="7" t="s">
        <v>92</v>
      </c>
      <c r="U179" s="7"/>
      <c r="V179" s="7"/>
      <c r="W179" s="7"/>
      <c r="X179" s="7"/>
      <c r="Y179" s="7"/>
      <c r="Z179" s="7"/>
      <c r="AA179" s="7"/>
      <c r="AB179" s="7"/>
      <c r="AC179" s="8" t="s">
        <v>383</v>
      </c>
      <c r="AD179" s="7"/>
      <c r="AE179" s="7" t="s">
        <v>384</v>
      </c>
      <c r="AF179" s="7"/>
      <c r="AG179" s="7" t="s">
        <v>385</v>
      </c>
    </row>
    <row r="180" customFormat="false" ht="79.85" hidden="false" customHeight="false" outlineLevel="0" collapsed="false">
      <c r="A180" s="7" t="s">
        <v>386</v>
      </c>
      <c r="B180" s="7" t="s">
        <v>76</v>
      </c>
      <c r="C180" s="7" t="s">
        <v>141</v>
      </c>
      <c r="D180" s="7" t="s">
        <v>78</v>
      </c>
      <c r="E180" s="7" t="s">
        <v>387</v>
      </c>
      <c r="F180" s="7" t="s">
        <v>80</v>
      </c>
      <c r="G180" s="7" t="s">
        <v>101</v>
      </c>
      <c r="H180" s="7" t="s">
        <v>102</v>
      </c>
      <c r="I180" s="7" t="s">
        <v>103</v>
      </c>
      <c r="J180" s="7" t="s">
        <v>388</v>
      </c>
      <c r="K180" s="7" t="s">
        <v>85</v>
      </c>
      <c r="L180" s="7" t="s">
        <v>389</v>
      </c>
      <c r="M180" s="7" t="s">
        <v>87</v>
      </c>
      <c r="N180" s="7" t="s">
        <v>390</v>
      </c>
      <c r="O180" s="7" t="s">
        <v>391</v>
      </c>
      <c r="P180" s="7" t="s">
        <v>392</v>
      </c>
      <c r="Q180" s="7" t="s">
        <v>393</v>
      </c>
      <c r="R180" s="7" t="s">
        <v>394</v>
      </c>
      <c r="S180" s="7" t="s">
        <v>395</v>
      </c>
      <c r="T180" s="7" t="s">
        <v>109</v>
      </c>
      <c r="U180" s="7" t="s">
        <v>396</v>
      </c>
      <c r="V180" s="8" t="s">
        <v>397</v>
      </c>
      <c r="W180" s="7"/>
      <c r="X180" s="7"/>
      <c r="Y180" s="7"/>
      <c r="Z180" s="7"/>
      <c r="AA180" s="7"/>
      <c r="AB180" s="7"/>
      <c r="AC180" s="8" t="s">
        <v>398</v>
      </c>
      <c r="AD180" s="7"/>
      <c r="AE180" s="7" t="s">
        <v>399</v>
      </c>
      <c r="AF180" s="7"/>
      <c r="AG180" s="7" t="s">
        <v>400</v>
      </c>
    </row>
    <row r="181" customFormat="false" ht="57.45" hidden="false" customHeight="false" outlineLevel="0" collapsed="false">
      <c r="A181" s="7" t="s">
        <v>401</v>
      </c>
      <c r="B181" s="7" t="s">
        <v>76</v>
      </c>
      <c r="C181" s="7" t="s">
        <v>141</v>
      </c>
      <c r="D181" s="7" t="s">
        <v>78</v>
      </c>
      <c r="E181" s="7" t="s">
        <v>402</v>
      </c>
      <c r="F181" s="7" t="s">
        <v>182</v>
      </c>
      <c r="G181" s="7" t="s">
        <v>101</v>
      </c>
      <c r="H181" s="7" t="s">
        <v>102</v>
      </c>
      <c r="I181" s="7" t="s">
        <v>103</v>
      </c>
      <c r="J181" s="7" t="s">
        <v>403</v>
      </c>
      <c r="K181" s="7" t="s">
        <v>404</v>
      </c>
      <c r="L181" s="7" t="s">
        <v>405</v>
      </c>
      <c r="M181" s="7" t="s">
        <v>406</v>
      </c>
      <c r="N181" s="7" t="s">
        <v>407</v>
      </c>
      <c r="O181" s="7" t="s">
        <v>408</v>
      </c>
      <c r="P181" s="7" t="s">
        <v>409</v>
      </c>
      <c r="Q181" s="7" t="s">
        <v>410</v>
      </c>
      <c r="R181" s="7" t="s">
        <v>411</v>
      </c>
      <c r="S181" s="7" t="s">
        <v>412</v>
      </c>
      <c r="T181" s="7" t="s">
        <v>189</v>
      </c>
      <c r="U181" s="7"/>
      <c r="V181" s="7"/>
      <c r="W181" s="8" t="s">
        <v>413</v>
      </c>
      <c r="X181" s="7"/>
      <c r="Y181" s="7"/>
      <c r="Z181" s="7"/>
      <c r="AA181" s="7"/>
      <c r="AB181" s="7" t="s">
        <v>414</v>
      </c>
      <c r="AC181" s="8" t="s">
        <v>415</v>
      </c>
      <c r="AD181" s="7" t="s">
        <v>245</v>
      </c>
      <c r="AE181" s="7" t="s">
        <v>416</v>
      </c>
      <c r="AF181" s="7" t="s">
        <v>417</v>
      </c>
      <c r="AG181" s="7" t="s">
        <v>418</v>
      </c>
    </row>
    <row r="182" customFormat="false" ht="57.45" hidden="false" customHeight="false" outlineLevel="0" collapsed="false">
      <c r="A182" s="7" t="s">
        <v>419</v>
      </c>
      <c r="B182" s="7" t="s">
        <v>76</v>
      </c>
      <c r="C182" s="7" t="s">
        <v>141</v>
      </c>
      <c r="D182" s="7" t="s">
        <v>78</v>
      </c>
      <c r="E182" s="7" t="s">
        <v>420</v>
      </c>
      <c r="F182" s="7" t="s">
        <v>182</v>
      </c>
      <c r="G182" s="7" t="s">
        <v>101</v>
      </c>
      <c r="H182" s="7" t="s">
        <v>102</v>
      </c>
      <c r="I182" s="7" t="s">
        <v>103</v>
      </c>
      <c r="J182" s="7" t="s">
        <v>421</v>
      </c>
      <c r="K182" s="7" t="s">
        <v>85</v>
      </c>
      <c r="L182" s="7" t="s">
        <v>105</v>
      </c>
      <c r="M182" s="7" t="s">
        <v>87</v>
      </c>
      <c r="N182" s="7"/>
      <c r="O182" s="7"/>
      <c r="P182" s="7" t="s">
        <v>88</v>
      </c>
      <c r="Q182" s="7" t="s">
        <v>144</v>
      </c>
      <c r="R182" s="7" t="s">
        <v>422</v>
      </c>
      <c r="S182" s="7" t="s">
        <v>423</v>
      </c>
      <c r="T182" s="7" t="s">
        <v>92</v>
      </c>
      <c r="U182" s="7"/>
      <c r="V182" s="7"/>
      <c r="W182" s="7"/>
      <c r="X182" s="7"/>
      <c r="Y182" s="7"/>
      <c r="Z182" s="7"/>
      <c r="AA182" s="7"/>
      <c r="AB182" s="7"/>
      <c r="AC182" s="8" t="s">
        <v>424</v>
      </c>
      <c r="AD182" s="7" t="s">
        <v>425</v>
      </c>
      <c r="AE182" s="7"/>
      <c r="AF182" s="7"/>
      <c r="AG182" s="7" t="s">
        <v>96</v>
      </c>
    </row>
    <row r="183" customFormat="false" ht="102.2" hidden="false" customHeight="false" outlineLevel="0" collapsed="false">
      <c r="A183" s="7" t="s">
        <v>748</v>
      </c>
      <c r="B183" s="7" t="s">
        <v>116</v>
      </c>
      <c r="C183" s="7" t="s">
        <v>141</v>
      </c>
      <c r="D183" s="7" t="s">
        <v>98</v>
      </c>
      <c r="E183" s="7" t="s">
        <v>749</v>
      </c>
      <c r="F183" s="7" t="s">
        <v>100</v>
      </c>
      <c r="G183" s="7" t="s">
        <v>101</v>
      </c>
      <c r="H183" s="7" t="s">
        <v>102</v>
      </c>
      <c r="I183" s="7" t="s">
        <v>103</v>
      </c>
      <c r="J183" s="7" t="s">
        <v>750</v>
      </c>
      <c r="K183" s="7" t="s">
        <v>85</v>
      </c>
      <c r="L183" s="7" t="s">
        <v>751</v>
      </c>
      <c r="M183" s="7" t="s">
        <v>87</v>
      </c>
      <c r="N183" s="7"/>
      <c r="O183" s="7" t="s">
        <v>752</v>
      </c>
      <c r="P183" s="7" t="s">
        <v>753</v>
      </c>
      <c r="Q183" s="7" t="s">
        <v>754</v>
      </c>
      <c r="R183" s="7" t="s">
        <v>755</v>
      </c>
      <c r="S183" s="7" t="s">
        <v>756</v>
      </c>
      <c r="T183" s="7" t="s">
        <v>92</v>
      </c>
      <c r="U183" s="7"/>
      <c r="V183" s="7"/>
      <c r="W183" s="7"/>
      <c r="X183" s="7"/>
      <c r="Y183" s="7"/>
      <c r="Z183" s="7"/>
      <c r="AA183" s="7"/>
      <c r="AB183" s="7"/>
      <c r="AC183" s="8" t="s">
        <v>757</v>
      </c>
      <c r="AD183" s="7"/>
      <c r="AE183" s="7"/>
      <c r="AF183" s="7"/>
      <c r="AG183" s="7" t="s">
        <v>758</v>
      </c>
    </row>
    <row r="184" customFormat="false" ht="23.85" hidden="false" customHeight="false" outlineLevel="0" collapsed="false">
      <c r="A184" s="7" t="s">
        <v>2001</v>
      </c>
      <c r="B184" s="7" t="s">
        <v>116</v>
      </c>
      <c r="C184" s="7" t="s">
        <v>985</v>
      </c>
      <c r="D184" s="7" t="s">
        <v>98</v>
      </c>
      <c r="E184" s="7" t="s">
        <v>2002</v>
      </c>
      <c r="F184" s="7" t="s">
        <v>100</v>
      </c>
      <c r="G184" s="7" t="s">
        <v>101</v>
      </c>
      <c r="H184" s="7" t="s">
        <v>102</v>
      </c>
      <c r="I184" s="7" t="s">
        <v>103</v>
      </c>
      <c r="J184" s="7" t="s">
        <v>2003</v>
      </c>
      <c r="K184" s="7" t="s">
        <v>85</v>
      </c>
      <c r="L184" s="7" t="s">
        <v>105</v>
      </c>
      <c r="M184" s="7" t="s">
        <v>87</v>
      </c>
      <c r="N184" s="7" t="s">
        <v>2004</v>
      </c>
      <c r="O184" s="7"/>
      <c r="P184" s="7" t="s">
        <v>106</v>
      </c>
      <c r="Q184" s="7" t="s">
        <v>1276</v>
      </c>
      <c r="R184" s="7" t="s">
        <v>2005</v>
      </c>
      <c r="S184" s="7"/>
      <c r="T184" s="7" t="s">
        <v>109</v>
      </c>
      <c r="U184" s="7" t="s">
        <v>2006</v>
      </c>
      <c r="V184" s="8" t="s">
        <v>2007</v>
      </c>
      <c r="W184" s="7"/>
      <c r="X184" s="7"/>
      <c r="Y184" s="7"/>
      <c r="Z184" s="7"/>
      <c r="AA184" s="7"/>
      <c r="AB184" s="7"/>
      <c r="AC184" s="8" t="s">
        <v>2007</v>
      </c>
      <c r="AD184" s="7"/>
      <c r="AE184" s="7"/>
      <c r="AF184" s="7"/>
      <c r="AG184" s="7" t="s">
        <v>96</v>
      </c>
    </row>
    <row r="185" customFormat="false" ht="35.05" hidden="false" customHeight="false" outlineLevel="0" collapsed="false">
      <c r="A185" s="7" t="s">
        <v>759</v>
      </c>
      <c r="B185" s="7" t="s">
        <v>116</v>
      </c>
      <c r="C185" s="7" t="s">
        <v>141</v>
      </c>
      <c r="D185" s="7" t="s">
        <v>98</v>
      </c>
      <c r="E185" s="7" t="s">
        <v>760</v>
      </c>
      <c r="F185" s="7" t="s">
        <v>100</v>
      </c>
      <c r="G185" s="7" t="s">
        <v>101</v>
      </c>
      <c r="H185" s="7" t="s">
        <v>102</v>
      </c>
      <c r="I185" s="7" t="s">
        <v>103</v>
      </c>
      <c r="J185" s="7" t="s">
        <v>761</v>
      </c>
      <c r="K185" s="7" t="s">
        <v>85</v>
      </c>
      <c r="L185" s="7" t="s">
        <v>762</v>
      </c>
      <c r="M185" s="7" t="s">
        <v>87</v>
      </c>
      <c r="N185" s="7"/>
      <c r="O185" s="7"/>
      <c r="P185" s="7" t="s">
        <v>106</v>
      </c>
      <c r="Q185" s="7" t="s">
        <v>763</v>
      </c>
      <c r="R185" s="7" t="s">
        <v>764</v>
      </c>
      <c r="S185" s="7"/>
      <c r="T185" s="7" t="s">
        <v>92</v>
      </c>
      <c r="U185" s="7"/>
      <c r="V185" s="7"/>
      <c r="W185" s="7"/>
      <c r="X185" s="7"/>
      <c r="Y185" s="7"/>
      <c r="Z185" s="7"/>
      <c r="AA185" s="7"/>
      <c r="AB185" s="7" t="s">
        <v>765</v>
      </c>
      <c r="AC185" s="8" t="s">
        <v>766</v>
      </c>
      <c r="AD185" s="7"/>
      <c r="AE185" s="7"/>
      <c r="AF185" s="7"/>
      <c r="AG185" s="7" t="s">
        <v>767</v>
      </c>
    </row>
    <row r="186" customFormat="false" ht="79.85" hidden="false" customHeight="false" outlineLevel="0" collapsed="false">
      <c r="A186" s="7" t="s">
        <v>2008</v>
      </c>
      <c r="B186" s="7" t="s">
        <v>116</v>
      </c>
      <c r="C186" s="7" t="s">
        <v>985</v>
      </c>
      <c r="D186" s="7" t="s">
        <v>98</v>
      </c>
      <c r="E186" s="7" t="s">
        <v>2009</v>
      </c>
      <c r="F186" s="7" t="s">
        <v>100</v>
      </c>
      <c r="G186" s="7" t="s">
        <v>101</v>
      </c>
      <c r="H186" s="7" t="s">
        <v>102</v>
      </c>
      <c r="I186" s="7" t="s">
        <v>103</v>
      </c>
      <c r="J186" s="7" t="s">
        <v>2010</v>
      </c>
      <c r="K186" s="7" t="s">
        <v>85</v>
      </c>
      <c r="L186" s="7" t="s">
        <v>2011</v>
      </c>
      <c r="M186" s="7" t="s">
        <v>87</v>
      </c>
      <c r="N186" s="7"/>
      <c r="O186" s="7"/>
      <c r="P186" s="7" t="s">
        <v>106</v>
      </c>
      <c r="Q186" s="7" t="s">
        <v>2012</v>
      </c>
      <c r="R186" s="7" t="s">
        <v>2013</v>
      </c>
      <c r="S186" s="7" t="s">
        <v>2014</v>
      </c>
      <c r="T186" s="7" t="s">
        <v>92</v>
      </c>
      <c r="U186" s="7"/>
      <c r="V186" s="7"/>
      <c r="W186" s="7"/>
      <c r="X186" s="7"/>
      <c r="Y186" s="7"/>
      <c r="Z186" s="7"/>
      <c r="AA186" s="7"/>
      <c r="AB186" s="7"/>
      <c r="AC186" s="8" t="s">
        <v>2015</v>
      </c>
      <c r="AD186" s="7"/>
      <c r="AE186" s="7" t="s">
        <v>1109</v>
      </c>
      <c r="AF186" s="7"/>
      <c r="AG186" s="7" t="s">
        <v>2016</v>
      </c>
    </row>
    <row r="187" customFormat="false" ht="35.05" hidden="false" customHeight="false" outlineLevel="0" collapsed="false">
      <c r="A187" s="7" t="s">
        <v>768</v>
      </c>
      <c r="B187" s="7" t="s">
        <v>116</v>
      </c>
      <c r="C187" s="7" t="s">
        <v>141</v>
      </c>
      <c r="D187" s="7" t="s">
        <v>98</v>
      </c>
      <c r="E187" s="7" t="s">
        <v>769</v>
      </c>
      <c r="F187" s="7" t="s">
        <v>379</v>
      </c>
      <c r="G187" s="7" t="s">
        <v>101</v>
      </c>
      <c r="H187" s="7" t="s">
        <v>102</v>
      </c>
      <c r="I187" s="7" t="s">
        <v>103</v>
      </c>
      <c r="J187" s="7" t="s">
        <v>770</v>
      </c>
      <c r="K187" s="7" t="s">
        <v>85</v>
      </c>
      <c r="L187" s="7" t="s">
        <v>105</v>
      </c>
      <c r="M187" s="7" t="s">
        <v>87</v>
      </c>
      <c r="N187" s="7"/>
      <c r="O187" s="7"/>
      <c r="P187" s="7" t="s">
        <v>106</v>
      </c>
      <c r="Q187" s="7" t="s">
        <v>144</v>
      </c>
      <c r="R187" s="7" t="s">
        <v>771</v>
      </c>
      <c r="S187" s="7" t="s">
        <v>772</v>
      </c>
      <c r="T187" s="7" t="s">
        <v>92</v>
      </c>
      <c r="U187" s="7"/>
      <c r="V187" s="7"/>
      <c r="W187" s="7"/>
      <c r="X187" s="7"/>
      <c r="Y187" s="7"/>
      <c r="Z187" s="7"/>
      <c r="AA187" s="7"/>
      <c r="AB187" s="7"/>
      <c r="AC187" s="8" t="s">
        <v>556</v>
      </c>
      <c r="AD187" s="7" t="s">
        <v>177</v>
      </c>
      <c r="AE187" s="7" t="s">
        <v>773</v>
      </c>
      <c r="AF187" s="7"/>
      <c r="AG187" s="7" t="s">
        <v>774</v>
      </c>
    </row>
    <row r="188" customFormat="false" ht="23.85" hidden="false" customHeight="false" outlineLevel="0" collapsed="false">
      <c r="A188" s="7" t="s">
        <v>2017</v>
      </c>
      <c r="B188" s="7" t="s">
        <v>116</v>
      </c>
      <c r="C188" s="7" t="s">
        <v>985</v>
      </c>
      <c r="D188" s="7" t="s">
        <v>78</v>
      </c>
      <c r="E188" s="7" t="s">
        <v>2018</v>
      </c>
      <c r="F188" s="7" t="s">
        <v>80</v>
      </c>
      <c r="G188" s="7" t="s">
        <v>101</v>
      </c>
      <c r="H188" s="7" t="s">
        <v>102</v>
      </c>
      <c r="I188" s="7" t="s">
        <v>103</v>
      </c>
      <c r="J188" s="7" t="s">
        <v>2019</v>
      </c>
      <c r="K188" s="7" t="s">
        <v>85</v>
      </c>
      <c r="L188" s="7" t="s">
        <v>2020</v>
      </c>
      <c r="M188" s="7" t="s">
        <v>87</v>
      </c>
      <c r="N188" s="7"/>
      <c r="O188" s="7"/>
      <c r="P188" s="7" t="s">
        <v>88</v>
      </c>
      <c r="Q188" s="7" t="s">
        <v>988</v>
      </c>
      <c r="R188" s="7" t="s">
        <v>2021</v>
      </c>
      <c r="S188" s="7" t="s">
        <v>2022</v>
      </c>
      <c r="T188" s="7" t="s">
        <v>109</v>
      </c>
      <c r="U188" s="7" t="s">
        <v>2023</v>
      </c>
      <c r="V188" s="8" t="s">
        <v>2024</v>
      </c>
      <c r="W188" s="7"/>
      <c r="X188" s="7"/>
      <c r="Y188" s="7" t="s">
        <v>2025</v>
      </c>
      <c r="Z188" s="7"/>
      <c r="AA188" s="7"/>
      <c r="AB188" s="7"/>
      <c r="AC188" s="8" t="s">
        <v>2026</v>
      </c>
      <c r="AD188" s="7"/>
      <c r="AE188" s="7" t="s">
        <v>2027</v>
      </c>
      <c r="AF188" s="7"/>
      <c r="AG188" s="7" t="s">
        <v>2028</v>
      </c>
    </row>
    <row r="189" customFormat="false" ht="91" hidden="false" customHeight="false" outlineLevel="0" collapsed="false">
      <c r="A189" s="7" t="s">
        <v>2029</v>
      </c>
      <c r="B189" s="7" t="s">
        <v>116</v>
      </c>
      <c r="C189" s="7" t="s">
        <v>985</v>
      </c>
      <c r="D189" s="7" t="s">
        <v>78</v>
      </c>
      <c r="E189" s="7" t="s">
        <v>2030</v>
      </c>
      <c r="F189" s="7" t="s">
        <v>257</v>
      </c>
      <c r="G189" s="7" t="s">
        <v>101</v>
      </c>
      <c r="H189" s="7" t="s">
        <v>102</v>
      </c>
      <c r="I189" s="7" t="s">
        <v>103</v>
      </c>
      <c r="J189" s="7" t="s">
        <v>2031</v>
      </c>
      <c r="K189" s="7" t="s">
        <v>85</v>
      </c>
      <c r="L189" s="7" t="s">
        <v>2032</v>
      </c>
      <c r="M189" s="7" t="s">
        <v>87</v>
      </c>
      <c r="N189" s="7" t="s">
        <v>2033</v>
      </c>
      <c r="O189" s="7"/>
      <c r="P189" s="7" t="s">
        <v>88</v>
      </c>
      <c r="Q189" s="7" t="s">
        <v>2034</v>
      </c>
      <c r="R189" s="7" t="s">
        <v>2035</v>
      </c>
      <c r="S189" s="7" t="s">
        <v>2036</v>
      </c>
      <c r="T189" s="7" t="s">
        <v>92</v>
      </c>
      <c r="U189" s="7"/>
      <c r="V189" s="7"/>
      <c r="W189" s="7"/>
      <c r="X189" s="7"/>
      <c r="Y189" s="7"/>
      <c r="Z189" s="7"/>
      <c r="AA189" s="7"/>
      <c r="AB189" s="7"/>
      <c r="AC189" s="8" t="s">
        <v>2037</v>
      </c>
      <c r="AD189" s="7" t="s">
        <v>245</v>
      </c>
      <c r="AE189" s="7" t="s">
        <v>2038</v>
      </c>
      <c r="AF189" s="7"/>
      <c r="AG189" s="7" t="s">
        <v>2039</v>
      </c>
    </row>
    <row r="190" customFormat="false" ht="35.05" hidden="false" customHeight="false" outlineLevel="0" collapsed="false">
      <c r="A190" s="7" t="s">
        <v>2040</v>
      </c>
      <c r="B190" s="7" t="s">
        <v>116</v>
      </c>
      <c r="C190" s="7" t="s">
        <v>985</v>
      </c>
      <c r="D190" s="7" t="s">
        <v>78</v>
      </c>
      <c r="E190" s="7" t="s">
        <v>2041</v>
      </c>
      <c r="F190" s="7" t="s">
        <v>80</v>
      </c>
      <c r="G190" s="7" t="s">
        <v>101</v>
      </c>
      <c r="H190" s="7" t="s">
        <v>102</v>
      </c>
      <c r="I190" s="7" t="s">
        <v>103</v>
      </c>
      <c r="J190" s="7" t="s">
        <v>2042</v>
      </c>
      <c r="K190" s="7" t="s">
        <v>85</v>
      </c>
      <c r="L190" s="7" t="s">
        <v>2043</v>
      </c>
      <c r="M190" s="7" t="s">
        <v>87</v>
      </c>
      <c r="N190" s="7"/>
      <c r="O190" s="7"/>
      <c r="P190" s="7" t="s">
        <v>88</v>
      </c>
      <c r="Q190" s="7" t="s">
        <v>988</v>
      </c>
      <c r="R190" s="7" t="s">
        <v>2044</v>
      </c>
      <c r="S190" s="7" t="s">
        <v>2045</v>
      </c>
      <c r="T190" s="7" t="s">
        <v>109</v>
      </c>
      <c r="U190" s="7" t="s">
        <v>2046</v>
      </c>
      <c r="V190" s="8" t="s">
        <v>2047</v>
      </c>
      <c r="W190" s="7"/>
      <c r="X190" s="7"/>
      <c r="Y190" s="7"/>
      <c r="Z190" s="7"/>
      <c r="AA190" s="7"/>
      <c r="AB190" s="7"/>
      <c r="AC190" s="8" t="s">
        <v>2026</v>
      </c>
      <c r="AD190" s="7"/>
      <c r="AE190" s="7"/>
      <c r="AF190" s="7"/>
      <c r="AG190" s="7" t="s">
        <v>2048</v>
      </c>
    </row>
    <row r="191" customFormat="false" ht="57.45" hidden="false" customHeight="false" outlineLevel="0" collapsed="false">
      <c r="A191" s="7" t="s">
        <v>2049</v>
      </c>
      <c r="B191" s="7" t="s">
        <v>116</v>
      </c>
      <c r="C191" s="7" t="s">
        <v>985</v>
      </c>
      <c r="D191" s="7" t="s">
        <v>78</v>
      </c>
      <c r="E191" s="7" t="s">
        <v>2050</v>
      </c>
      <c r="F191" s="7" t="s">
        <v>257</v>
      </c>
      <c r="G191" s="7" t="s">
        <v>101</v>
      </c>
      <c r="H191" s="7" t="s">
        <v>102</v>
      </c>
      <c r="I191" s="7" t="s">
        <v>103</v>
      </c>
      <c r="J191" s="7" t="s">
        <v>2051</v>
      </c>
      <c r="K191" s="7" t="s">
        <v>85</v>
      </c>
      <c r="L191" s="7" t="s">
        <v>105</v>
      </c>
      <c r="M191" s="7" t="s">
        <v>87</v>
      </c>
      <c r="N191" s="7" t="s">
        <v>2052</v>
      </c>
      <c r="O191" s="7"/>
      <c r="P191" s="7" t="s">
        <v>88</v>
      </c>
      <c r="Q191" s="7" t="s">
        <v>988</v>
      </c>
      <c r="R191" s="7" t="s">
        <v>2053</v>
      </c>
      <c r="S191" s="7" t="s">
        <v>2045</v>
      </c>
      <c r="T191" s="7" t="s">
        <v>92</v>
      </c>
      <c r="U191" s="7"/>
      <c r="V191" s="7"/>
      <c r="W191" s="7"/>
      <c r="X191" s="7"/>
      <c r="Y191" s="7"/>
      <c r="Z191" s="7"/>
      <c r="AA191" s="7"/>
      <c r="AB191" s="7"/>
      <c r="AC191" s="8" t="s">
        <v>2054</v>
      </c>
      <c r="AD191" s="7" t="s">
        <v>2055</v>
      </c>
      <c r="AE191" s="7" t="s">
        <v>2056</v>
      </c>
      <c r="AF191" s="7"/>
      <c r="AG191" s="7" t="s">
        <v>2057</v>
      </c>
    </row>
    <row r="192" customFormat="false" ht="57.45" hidden="false" customHeight="false" outlineLevel="0" collapsed="false">
      <c r="A192" s="7" t="s">
        <v>2058</v>
      </c>
      <c r="B192" s="7" t="s">
        <v>811</v>
      </c>
      <c r="C192" s="7" t="s">
        <v>985</v>
      </c>
      <c r="D192" s="7" t="s">
        <v>98</v>
      </c>
      <c r="E192" s="7" t="s">
        <v>2059</v>
      </c>
      <c r="F192" s="7" t="s">
        <v>182</v>
      </c>
      <c r="G192" s="7" t="s">
        <v>101</v>
      </c>
      <c r="H192" s="7" t="s">
        <v>102</v>
      </c>
      <c r="I192" s="7" t="s">
        <v>103</v>
      </c>
      <c r="J192" s="7" t="s">
        <v>2060</v>
      </c>
      <c r="K192" s="7" t="s">
        <v>85</v>
      </c>
      <c r="L192" s="7" t="s">
        <v>2061</v>
      </c>
      <c r="M192" s="7" t="s">
        <v>87</v>
      </c>
      <c r="N192" s="7"/>
      <c r="O192" s="7"/>
      <c r="P192" s="7" t="s">
        <v>106</v>
      </c>
      <c r="Q192" s="7" t="s">
        <v>988</v>
      </c>
      <c r="R192" s="7" t="s">
        <v>2062</v>
      </c>
      <c r="S192" s="7"/>
      <c r="T192" s="7" t="s">
        <v>109</v>
      </c>
      <c r="U192" s="7" t="s">
        <v>2063</v>
      </c>
      <c r="V192" s="8" t="s">
        <v>2064</v>
      </c>
      <c r="W192" s="7"/>
      <c r="X192" s="7"/>
      <c r="Y192" s="7"/>
      <c r="Z192" s="7"/>
      <c r="AA192" s="7"/>
      <c r="AB192" s="7"/>
      <c r="AC192" s="8" t="s">
        <v>2064</v>
      </c>
      <c r="AD192" s="7"/>
      <c r="AE192" s="7" t="s">
        <v>1467</v>
      </c>
      <c r="AF192" s="7"/>
      <c r="AG192" s="7" t="s">
        <v>2065</v>
      </c>
    </row>
    <row r="193" customFormat="false" ht="46.25" hidden="false" customHeight="false" outlineLevel="0" collapsed="false">
      <c r="A193" s="7" t="s">
        <v>2066</v>
      </c>
      <c r="B193" s="7" t="s">
        <v>811</v>
      </c>
      <c r="C193" s="7" t="s">
        <v>985</v>
      </c>
      <c r="D193" s="7" t="s">
        <v>98</v>
      </c>
      <c r="E193" s="7" t="s">
        <v>2067</v>
      </c>
      <c r="F193" s="7" t="s">
        <v>257</v>
      </c>
      <c r="G193" s="7" t="s">
        <v>101</v>
      </c>
      <c r="H193" s="7" t="s">
        <v>102</v>
      </c>
      <c r="I193" s="7" t="s">
        <v>103</v>
      </c>
      <c r="J193" s="7" t="s">
        <v>2068</v>
      </c>
      <c r="K193" s="7" t="s">
        <v>85</v>
      </c>
      <c r="L193" s="7" t="s">
        <v>2069</v>
      </c>
      <c r="M193" s="7" t="s">
        <v>87</v>
      </c>
      <c r="N193" s="7"/>
      <c r="O193" s="7"/>
      <c r="P193" s="7" t="s">
        <v>106</v>
      </c>
      <c r="Q193" s="7" t="s">
        <v>988</v>
      </c>
      <c r="R193" s="7" t="s">
        <v>2070</v>
      </c>
      <c r="S193" s="7" t="s">
        <v>756</v>
      </c>
      <c r="T193" s="7" t="s">
        <v>109</v>
      </c>
      <c r="U193" s="7" t="s">
        <v>2071</v>
      </c>
      <c r="V193" s="8" t="s">
        <v>2072</v>
      </c>
      <c r="W193" s="7"/>
      <c r="X193" s="7"/>
      <c r="Y193" s="7"/>
      <c r="Z193" s="7"/>
      <c r="AA193" s="7"/>
      <c r="AB193" s="7"/>
      <c r="AC193" s="8" t="s">
        <v>2072</v>
      </c>
      <c r="AD193" s="7"/>
      <c r="AE193" s="7"/>
      <c r="AF193" s="7"/>
      <c r="AG193" s="7" t="s">
        <v>2073</v>
      </c>
    </row>
    <row r="194" customFormat="false" ht="35.05" hidden="false" customHeight="false" outlineLevel="0" collapsed="false">
      <c r="A194" s="7" t="s">
        <v>2074</v>
      </c>
      <c r="B194" s="7" t="s">
        <v>811</v>
      </c>
      <c r="C194" s="7" t="s">
        <v>985</v>
      </c>
      <c r="D194" s="7" t="s">
        <v>98</v>
      </c>
      <c r="E194" s="7" t="s">
        <v>2075</v>
      </c>
      <c r="F194" s="7" t="s">
        <v>379</v>
      </c>
      <c r="G194" s="7" t="s">
        <v>101</v>
      </c>
      <c r="H194" s="7" t="s">
        <v>102</v>
      </c>
      <c r="I194" s="7" t="s">
        <v>103</v>
      </c>
      <c r="J194" s="7" t="s">
        <v>2076</v>
      </c>
      <c r="K194" s="7" t="s">
        <v>85</v>
      </c>
      <c r="L194" s="7" t="s">
        <v>105</v>
      </c>
      <c r="M194" s="7" t="s">
        <v>87</v>
      </c>
      <c r="N194" s="7"/>
      <c r="O194" s="7"/>
      <c r="P194" s="7" t="s">
        <v>106</v>
      </c>
      <c r="Q194" s="7" t="s">
        <v>988</v>
      </c>
      <c r="R194" s="7" t="s">
        <v>2077</v>
      </c>
      <c r="S194" s="7" t="s">
        <v>2078</v>
      </c>
      <c r="T194" s="7" t="s">
        <v>109</v>
      </c>
      <c r="U194" s="7" t="s">
        <v>2079</v>
      </c>
      <c r="V194" s="8" t="s">
        <v>2080</v>
      </c>
      <c r="W194" s="7"/>
      <c r="X194" s="7"/>
      <c r="Y194" s="7"/>
      <c r="Z194" s="7"/>
      <c r="AA194" s="7"/>
      <c r="AB194" s="7"/>
      <c r="AC194" s="8" t="s">
        <v>2080</v>
      </c>
      <c r="AD194" s="7" t="s">
        <v>177</v>
      </c>
      <c r="AE194" s="7"/>
      <c r="AF194" s="7"/>
      <c r="AG194" s="7"/>
    </row>
    <row r="195" customFormat="false" ht="46.25" hidden="false" customHeight="false" outlineLevel="0" collapsed="false">
      <c r="A195" s="7" t="s">
        <v>912</v>
      </c>
      <c r="B195" s="7" t="s">
        <v>811</v>
      </c>
      <c r="C195" s="7" t="s">
        <v>141</v>
      </c>
      <c r="D195" s="7" t="s">
        <v>98</v>
      </c>
      <c r="E195" s="7" t="s">
        <v>913</v>
      </c>
      <c r="F195" s="7" t="s">
        <v>257</v>
      </c>
      <c r="G195" s="7" t="s">
        <v>101</v>
      </c>
      <c r="H195" s="7" t="s">
        <v>102</v>
      </c>
      <c r="I195" s="7" t="s">
        <v>103</v>
      </c>
      <c r="J195" s="7" t="s">
        <v>914</v>
      </c>
      <c r="K195" s="7" t="s">
        <v>85</v>
      </c>
      <c r="L195" s="7" t="s">
        <v>915</v>
      </c>
      <c r="M195" s="7" t="s">
        <v>87</v>
      </c>
      <c r="N195" s="7"/>
      <c r="O195" s="7"/>
      <c r="P195" s="7" t="s">
        <v>106</v>
      </c>
      <c r="Q195" s="7" t="s">
        <v>144</v>
      </c>
      <c r="R195" s="7" t="s">
        <v>916</v>
      </c>
      <c r="S195" s="7" t="s">
        <v>917</v>
      </c>
      <c r="T195" s="7" t="s">
        <v>92</v>
      </c>
      <c r="U195" s="7"/>
      <c r="V195" s="7"/>
      <c r="W195" s="7"/>
      <c r="X195" s="7"/>
      <c r="Y195" s="7"/>
      <c r="Z195" s="7"/>
      <c r="AA195" s="7"/>
      <c r="AB195" s="7" t="s">
        <v>918</v>
      </c>
      <c r="AC195" s="8" t="s">
        <v>919</v>
      </c>
      <c r="AD195" s="7"/>
      <c r="AE195" s="7" t="s">
        <v>920</v>
      </c>
      <c r="AF195" s="7"/>
      <c r="AG195" s="7" t="s">
        <v>921</v>
      </c>
    </row>
    <row r="196" customFormat="false" ht="57.45" hidden="false" customHeight="false" outlineLevel="0" collapsed="false">
      <c r="A196" s="7" t="s">
        <v>922</v>
      </c>
      <c r="B196" s="7" t="s">
        <v>811</v>
      </c>
      <c r="C196" s="7" t="s">
        <v>141</v>
      </c>
      <c r="D196" s="7" t="s">
        <v>98</v>
      </c>
      <c r="E196" s="7" t="s">
        <v>923</v>
      </c>
      <c r="F196" s="7" t="s">
        <v>182</v>
      </c>
      <c r="G196" s="7" t="s">
        <v>101</v>
      </c>
      <c r="H196" s="7" t="s">
        <v>102</v>
      </c>
      <c r="I196" s="7" t="s">
        <v>103</v>
      </c>
      <c r="J196" s="7" t="s">
        <v>924</v>
      </c>
      <c r="K196" s="7" t="s">
        <v>85</v>
      </c>
      <c r="L196" s="7" t="s">
        <v>925</v>
      </c>
      <c r="M196" s="7" t="s">
        <v>87</v>
      </c>
      <c r="N196" s="7"/>
      <c r="O196" s="7"/>
      <c r="P196" s="7" t="s">
        <v>106</v>
      </c>
      <c r="Q196" s="7" t="s">
        <v>144</v>
      </c>
      <c r="R196" s="7" t="s">
        <v>926</v>
      </c>
      <c r="S196" s="7"/>
      <c r="T196" s="7" t="s">
        <v>92</v>
      </c>
      <c r="U196" s="7"/>
      <c r="V196" s="7"/>
      <c r="W196" s="7"/>
      <c r="X196" s="7"/>
      <c r="Y196" s="7"/>
      <c r="Z196" s="7"/>
      <c r="AA196" s="7"/>
      <c r="AB196" s="7"/>
      <c r="AC196" s="8" t="s">
        <v>927</v>
      </c>
      <c r="AD196" s="7"/>
      <c r="AE196" s="7" t="s">
        <v>928</v>
      </c>
      <c r="AF196" s="7"/>
      <c r="AG196" s="7" t="s">
        <v>929</v>
      </c>
    </row>
    <row r="197" customFormat="false" ht="46.25" hidden="false" customHeight="false" outlineLevel="0" collapsed="false">
      <c r="A197" s="7" t="s">
        <v>2081</v>
      </c>
      <c r="B197" s="7" t="s">
        <v>811</v>
      </c>
      <c r="C197" s="7" t="s">
        <v>985</v>
      </c>
      <c r="D197" s="7" t="s">
        <v>78</v>
      </c>
      <c r="E197" s="7" t="s">
        <v>2082</v>
      </c>
      <c r="F197" s="7" t="s">
        <v>118</v>
      </c>
      <c r="G197" s="7" t="s">
        <v>101</v>
      </c>
      <c r="H197" s="7" t="s">
        <v>102</v>
      </c>
      <c r="I197" s="7" t="s">
        <v>103</v>
      </c>
      <c r="J197" s="7" t="s">
        <v>914</v>
      </c>
      <c r="K197" s="7" t="s">
        <v>2083</v>
      </c>
      <c r="L197" s="7" t="s">
        <v>2084</v>
      </c>
      <c r="M197" s="7" t="s">
        <v>122</v>
      </c>
      <c r="N197" s="7"/>
      <c r="O197" s="7"/>
      <c r="P197" s="7" t="s">
        <v>2085</v>
      </c>
      <c r="Q197" s="7" t="s">
        <v>124</v>
      </c>
      <c r="R197" s="7" t="s">
        <v>2053</v>
      </c>
      <c r="S197" s="7" t="s">
        <v>2045</v>
      </c>
      <c r="T197" s="7" t="s">
        <v>92</v>
      </c>
      <c r="U197" s="7"/>
      <c r="V197" s="7"/>
      <c r="W197" s="7"/>
      <c r="X197" s="7"/>
      <c r="Y197" s="7"/>
      <c r="Z197" s="7"/>
      <c r="AA197" s="7"/>
      <c r="AB197" s="7"/>
      <c r="AC197" s="8" t="s">
        <v>2054</v>
      </c>
      <c r="AD197" s="7" t="s">
        <v>2055</v>
      </c>
      <c r="AE197" s="7"/>
      <c r="AF197" s="7"/>
      <c r="AG197" s="7" t="s">
        <v>270</v>
      </c>
    </row>
    <row r="198" customFormat="false" ht="79.85" hidden="false" customHeight="false" outlineLevel="0" collapsed="false">
      <c r="A198" s="7" t="s">
        <v>2086</v>
      </c>
      <c r="B198" s="7" t="s">
        <v>116</v>
      </c>
      <c r="C198" s="7" t="s">
        <v>985</v>
      </c>
      <c r="D198" s="7" t="s">
        <v>98</v>
      </c>
      <c r="E198" s="7" t="s">
        <v>2087</v>
      </c>
      <c r="F198" s="7" t="s">
        <v>100</v>
      </c>
      <c r="G198" s="7" t="s">
        <v>101</v>
      </c>
      <c r="H198" s="7" t="s">
        <v>2088</v>
      </c>
      <c r="I198" s="7" t="s">
        <v>2088</v>
      </c>
      <c r="J198" s="7" t="s">
        <v>2089</v>
      </c>
      <c r="K198" s="7" t="s">
        <v>85</v>
      </c>
      <c r="L198" s="7" t="s">
        <v>105</v>
      </c>
      <c r="M198" s="7" t="s">
        <v>87</v>
      </c>
      <c r="N198" s="7"/>
      <c r="O198" s="7"/>
      <c r="P198" s="7" t="s">
        <v>106</v>
      </c>
      <c r="Q198" s="7" t="s">
        <v>1276</v>
      </c>
      <c r="R198" s="7" t="s">
        <v>2090</v>
      </c>
      <c r="S198" s="7" t="s">
        <v>2091</v>
      </c>
      <c r="T198" s="7" t="s">
        <v>92</v>
      </c>
      <c r="U198" s="7"/>
      <c r="V198" s="7"/>
      <c r="W198" s="7"/>
      <c r="X198" s="7"/>
      <c r="Y198" s="7"/>
      <c r="Z198" s="7"/>
      <c r="AA198" s="7"/>
      <c r="AB198" s="7" t="s">
        <v>2092</v>
      </c>
      <c r="AC198" s="8" t="s">
        <v>2093</v>
      </c>
      <c r="AD198" s="7"/>
      <c r="AE198" s="7" t="s">
        <v>1570</v>
      </c>
      <c r="AF198" s="7"/>
      <c r="AG198" s="7" t="s">
        <v>2094</v>
      </c>
    </row>
    <row r="199" customFormat="false" ht="23.85" hidden="false" customHeight="false" outlineLevel="0" collapsed="false">
      <c r="A199" s="7" t="s">
        <v>2095</v>
      </c>
      <c r="B199" s="7" t="s">
        <v>811</v>
      </c>
      <c r="C199" s="7" t="s">
        <v>985</v>
      </c>
      <c r="D199" s="7" t="s">
        <v>98</v>
      </c>
      <c r="E199" s="7" t="s">
        <v>2096</v>
      </c>
      <c r="F199" s="7" t="s">
        <v>100</v>
      </c>
      <c r="G199" s="7" t="s">
        <v>101</v>
      </c>
      <c r="H199" s="7" t="s">
        <v>2088</v>
      </c>
      <c r="I199" s="7" t="s">
        <v>2097</v>
      </c>
      <c r="J199" s="7" t="s">
        <v>2098</v>
      </c>
      <c r="K199" s="7" t="s">
        <v>85</v>
      </c>
      <c r="L199" s="7" t="s">
        <v>105</v>
      </c>
      <c r="M199" s="7" t="s">
        <v>87</v>
      </c>
      <c r="N199" s="7"/>
      <c r="O199" s="7"/>
      <c r="P199" s="7" t="s">
        <v>106</v>
      </c>
      <c r="Q199" s="7" t="s">
        <v>1276</v>
      </c>
      <c r="R199" s="7" t="s">
        <v>2099</v>
      </c>
      <c r="S199" s="7" t="s">
        <v>1286</v>
      </c>
      <c r="T199" s="7" t="s">
        <v>109</v>
      </c>
      <c r="U199" s="7" t="s">
        <v>2100</v>
      </c>
      <c r="V199" s="8" t="s">
        <v>2101</v>
      </c>
      <c r="W199" s="7"/>
      <c r="X199" s="7"/>
      <c r="Y199" s="7"/>
      <c r="Z199" s="7"/>
      <c r="AA199" s="7"/>
      <c r="AB199" s="7"/>
      <c r="AC199" s="8" t="s">
        <v>2101</v>
      </c>
      <c r="AD199" s="7"/>
      <c r="AE199" s="7" t="s">
        <v>2102</v>
      </c>
      <c r="AF199" s="7"/>
      <c r="AG199" s="7" t="s">
        <v>2103</v>
      </c>
    </row>
    <row r="200" customFormat="false" ht="23.85" hidden="false" customHeight="false" outlineLevel="0" collapsed="false">
      <c r="A200" s="7" t="s">
        <v>2104</v>
      </c>
      <c r="B200" s="7" t="s">
        <v>116</v>
      </c>
      <c r="C200" s="7" t="s">
        <v>985</v>
      </c>
      <c r="D200" s="7" t="s">
        <v>78</v>
      </c>
      <c r="E200" s="7" t="s">
        <v>2105</v>
      </c>
      <c r="F200" s="7" t="s">
        <v>257</v>
      </c>
      <c r="G200" s="7" t="s">
        <v>101</v>
      </c>
      <c r="H200" s="7" t="s">
        <v>428</v>
      </c>
      <c r="I200" s="7" t="s">
        <v>2106</v>
      </c>
      <c r="J200" s="7"/>
      <c r="K200" s="7" t="s">
        <v>85</v>
      </c>
      <c r="L200" s="7" t="s">
        <v>105</v>
      </c>
      <c r="M200" s="7" t="s">
        <v>87</v>
      </c>
      <c r="N200" s="7"/>
      <c r="O200" s="7"/>
      <c r="P200" s="7" t="s">
        <v>88</v>
      </c>
      <c r="Q200" s="7" t="s">
        <v>988</v>
      </c>
      <c r="R200" s="7" t="s">
        <v>2107</v>
      </c>
      <c r="S200" s="7"/>
      <c r="T200" s="7" t="s">
        <v>92</v>
      </c>
      <c r="U200" s="7"/>
      <c r="V200" s="7"/>
      <c r="W200" s="7"/>
      <c r="X200" s="7"/>
      <c r="Y200" s="7"/>
      <c r="Z200" s="7"/>
      <c r="AA200" s="7"/>
      <c r="AB200" s="7"/>
      <c r="AC200" s="8" t="s">
        <v>2108</v>
      </c>
      <c r="AD200" s="7"/>
      <c r="AE200" s="7" t="s">
        <v>2109</v>
      </c>
      <c r="AF200" s="7" t="s">
        <v>2110</v>
      </c>
      <c r="AG200" s="7" t="s">
        <v>2111</v>
      </c>
    </row>
    <row r="201" customFormat="false" ht="68.65" hidden="false" customHeight="false" outlineLevel="0" collapsed="false">
      <c r="A201" s="7" t="s">
        <v>563</v>
      </c>
      <c r="B201" s="7" t="s">
        <v>76</v>
      </c>
      <c r="C201" s="7" t="s">
        <v>141</v>
      </c>
      <c r="D201" s="7" t="s">
        <v>98</v>
      </c>
      <c r="E201" s="7" t="s">
        <v>564</v>
      </c>
      <c r="F201" s="7" t="s">
        <v>257</v>
      </c>
      <c r="G201" s="7" t="s">
        <v>101</v>
      </c>
      <c r="H201" s="7" t="s">
        <v>428</v>
      </c>
      <c r="I201" s="7" t="s">
        <v>429</v>
      </c>
      <c r="J201" s="7" t="s">
        <v>565</v>
      </c>
      <c r="K201" s="7" t="s">
        <v>85</v>
      </c>
      <c r="L201" s="7" t="s">
        <v>566</v>
      </c>
      <c r="M201" s="7" t="s">
        <v>87</v>
      </c>
      <c r="N201" s="7"/>
      <c r="O201" s="7" t="s">
        <v>567</v>
      </c>
      <c r="P201" s="7" t="s">
        <v>568</v>
      </c>
      <c r="Q201" s="7" t="s">
        <v>144</v>
      </c>
      <c r="R201" s="7" t="s">
        <v>569</v>
      </c>
      <c r="S201" s="7"/>
      <c r="T201" s="7" t="s">
        <v>92</v>
      </c>
      <c r="U201" s="7"/>
      <c r="V201" s="7"/>
      <c r="W201" s="7"/>
      <c r="X201" s="7"/>
      <c r="Y201" s="7"/>
      <c r="Z201" s="7"/>
      <c r="AA201" s="7"/>
      <c r="AB201" s="7"/>
      <c r="AC201" s="8" t="s">
        <v>570</v>
      </c>
      <c r="AD201" s="7"/>
      <c r="AE201" s="7" t="s">
        <v>571</v>
      </c>
      <c r="AF201" s="7"/>
      <c r="AG201" s="7" t="s">
        <v>572</v>
      </c>
    </row>
    <row r="202" customFormat="false" ht="46.25" hidden="false" customHeight="false" outlineLevel="0" collapsed="false">
      <c r="A202" s="7" t="s">
        <v>573</v>
      </c>
      <c r="B202" s="7" t="s">
        <v>76</v>
      </c>
      <c r="C202" s="7" t="s">
        <v>141</v>
      </c>
      <c r="D202" s="7" t="s">
        <v>98</v>
      </c>
      <c r="E202" s="7" t="s">
        <v>574</v>
      </c>
      <c r="F202" s="7" t="s">
        <v>80</v>
      </c>
      <c r="G202" s="7" t="s">
        <v>101</v>
      </c>
      <c r="H202" s="7" t="s">
        <v>428</v>
      </c>
      <c r="I202" s="7" t="s">
        <v>429</v>
      </c>
      <c r="J202" s="7" t="s">
        <v>575</v>
      </c>
      <c r="K202" s="7" t="s">
        <v>85</v>
      </c>
      <c r="L202" s="7" t="s">
        <v>576</v>
      </c>
      <c r="M202" s="7" t="s">
        <v>87</v>
      </c>
      <c r="N202" s="7" t="s">
        <v>577</v>
      </c>
      <c r="O202" s="7"/>
      <c r="P202" s="7" t="s">
        <v>578</v>
      </c>
      <c r="Q202" s="7" t="s">
        <v>144</v>
      </c>
      <c r="R202" s="7" t="s">
        <v>579</v>
      </c>
      <c r="S202" s="7" t="s">
        <v>580</v>
      </c>
      <c r="T202" s="7" t="s">
        <v>92</v>
      </c>
      <c r="U202" s="7"/>
      <c r="V202" s="7"/>
      <c r="W202" s="7"/>
      <c r="X202" s="7"/>
      <c r="Y202" s="7"/>
      <c r="Z202" s="7"/>
      <c r="AA202" s="7"/>
      <c r="AB202" s="7"/>
      <c r="AC202" s="8" t="s">
        <v>556</v>
      </c>
      <c r="AD202" s="7" t="s">
        <v>245</v>
      </c>
      <c r="AE202" s="7" t="s">
        <v>581</v>
      </c>
      <c r="AF202" s="7"/>
      <c r="AG202" s="7" t="s">
        <v>582</v>
      </c>
    </row>
    <row r="203" customFormat="false" ht="113.4" hidden="false" customHeight="false" outlineLevel="0" collapsed="false">
      <c r="A203" s="7" t="s">
        <v>426</v>
      </c>
      <c r="B203" s="7" t="s">
        <v>76</v>
      </c>
      <c r="C203" s="7" t="s">
        <v>141</v>
      </c>
      <c r="D203" s="7" t="s">
        <v>78</v>
      </c>
      <c r="E203" s="7" t="s">
        <v>427</v>
      </c>
      <c r="F203" s="7" t="s">
        <v>80</v>
      </c>
      <c r="G203" s="7" t="s">
        <v>101</v>
      </c>
      <c r="H203" s="7" t="s">
        <v>428</v>
      </c>
      <c r="I203" s="7" t="s">
        <v>429</v>
      </c>
      <c r="J203" s="7" t="s">
        <v>430</v>
      </c>
      <c r="K203" s="7" t="s">
        <v>85</v>
      </c>
      <c r="L203" s="7" t="s">
        <v>431</v>
      </c>
      <c r="M203" s="7" t="s">
        <v>432</v>
      </c>
      <c r="N203" s="7" t="s">
        <v>433</v>
      </c>
      <c r="O203" s="7" t="s">
        <v>434</v>
      </c>
      <c r="P203" s="7" t="s">
        <v>435</v>
      </c>
      <c r="Q203" s="7" t="s">
        <v>436</v>
      </c>
      <c r="R203" s="7" t="s">
        <v>437</v>
      </c>
      <c r="S203" s="7" t="s">
        <v>438</v>
      </c>
      <c r="T203" s="7" t="s">
        <v>109</v>
      </c>
      <c r="U203" s="7" t="s">
        <v>439</v>
      </c>
      <c r="V203" s="8" t="s">
        <v>440</v>
      </c>
      <c r="W203" s="7"/>
      <c r="X203" s="7"/>
      <c r="Y203" s="7"/>
      <c r="Z203" s="7"/>
      <c r="AA203" s="7"/>
      <c r="AB203" s="7" t="s">
        <v>441</v>
      </c>
      <c r="AC203" s="8" t="s">
        <v>442</v>
      </c>
      <c r="AD203" s="7"/>
      <c r="AE203" s="7" t="s">
        <v>443</v>
      </c>
      <c r="AF203" s="7"/>
      <c r="AG203" s="7" t="s">
        <v>444</v>
      </c>
    </row>
    <row r="204" customFormat="false" ht="57.45" hidden="false" customHeight="false" outlineLevel="0" collapsed="false">
      <c r="A204" s="7" t="s">
        <v>445</v>
      </c>
      <c r="B204" s="7" t="s">
        <v>76</v>
      </c>
      <c r="C204" s="7" t="s">
        <v>141</v>
      </c>
      <c r="D204" s="7" t="s">
        <v>78</v>
      </c>
      <c r="E204" s="7" t="s">
        <v>446</v>
      </c>
      <c r="F204" s="7" t="s">
        <v>80</v>
      </c>
      <c r="G204" s="7" t="s">
        <v>101</v>
      </c>
      <c r="H204" s="7" t="s">
        <v>428</v>
      </c>
      <c r="I204" s="7" t="s">
        <v>429</v>
      </c>
      <c r="J204" s="7"/>
      <c r="K204" s="7" t="s">
        <v>85</v>
      </c>
      <c r="L204" s="7" t="s">
        <v>447</v>
      </c>
      <c r="M204" s="7" t="s">
        <v>87</v>
      </c>
      <c r="N204" s="7"/>
      <c r="O204" s="7" t="s">
        <v>448</v>
      </c>
      <c r="P204" s="7" t="s">
        <v>449</v>
      </c>
      <c r="Q204" s="7" t="s">
        <v>450</v>
      </c>
      <c r="R204" s="7" t="s">
        <v>451</v>
      </c>
      <c r="S204" s="7" t="s">
        <v>452</v>
      </c>
      <c r="T204" s="7" t="s">
        <v>92</v>
      </c>
      <c r="U204" s="7"/>
      <c r="V204" s="7"/>
      <c r="W204" s="7"/>
      <c r="X204" s="7"/>
      <c r="Y204" s="7"/>
      <c r="Z204" s="7"/>
      <c r="AA204" s="7"/>
      <c r="AB204" s="7" t="s">
        <v>453</v>
      </c>
      <c r="AC204" s="8" t="s">
        <v>454</v>
      </c>
      <c r="AD204" s="7" t="s">
        <v>245</v>
      </c>
      <c r="AE204" s="7" t="s">
        <v>455</v>
      </c>
      <c r="AF204" s="7"/>
      <c r="AG204" s="7" t="s">
        <v>456</v>
      </c>
    </row>
    <row r="205" customFormat="false" ht="46.25" hidden="false" customHeight="false" outlineLevel="0" collapsed="false">
      <c r="A205" s="7" t="s">
        <v>775</v>
      </c>
      <c r="B205" s="7" t="s">
        <v>116</v>
      </c>
      <c r="C205" s="7" t="s">
        <v>141</v>
      </c>
      <c r="D205" s="7" t="s">
        <v>98</v>
      </c>
      <c r="E205" s="7" t="s">
        <v>776</v>
      </c>
      <c r="F205" s="7" t="s">
        <v>100</v>
      </c>
      <c r="G205" s="7" t="s">
        <v>101</v>
      </c>
      <c r="H205" s="7" t="s">
        <v>428</v>
      </c>
      <c r="I205" s="7" t="s">
        <v>429</v>
      </c>
      <c r="J205" s="7" t="s">
        <v>777</v>
      </c>
      <c r="K205" s="7" t="s">
        <v>85</v>
      </c>
      <c r="L205" s="7" t="s">
        <v>105</v>
      </c>
      <c r="M205" s="7" t="s">
        <v>87</v>
      </c>
      <c r="N205" s="7"/>
      <c r="O205" s="7"/>
      <c r="P205" s="7" t="s">
        <v>106</v>
      </c>
      <c r="Q205" s="7" t="s">
        <v>144</v>
      </c>
      <c r="R205" s="7" t="s">
        <v>778</v>
      </c>
      <c r="S205" s="7" t="s">
        <v>779</v>
      </c>
      <c r="T205" s="7" t="s">
        <v>92</v>
      </c>
      <c r="U205" s="7"/>
      <c r="V205" s="7"/>
      <c r="W205" s="7"/>
      <c r="X205" s="7"/>
      <c r="Y205" s="7"/>
      <c r="Z205" s="7"/>
      <c r="AA205" s="7"/>
      <c r="AB205" s="7" t="s">
        <v>780</v>
      </c>
      <c r="AC205" s="8" t="s">
        <v>781</v>
      </c>
      <c r="AD205" s="7"/>
      <c r="AE205" s="7" t="s">
        <v>285</v>
      </c>
      <c r="AF205" s="7"/>
      <c r="AG205" s="7" t="s">
        <v>782</v>
      </c>
    </row>
    <row r="206" customFormat="false" ht="91" hidden="false" customHeight="false" outlineLevel="0" collapsed="false">
      <c r="A206" s="7" t="s">
        <v>783</v>
      </c>
      <c r="B206" s="7" t="s">
        <v>116</v>
      </c>
      <c r="C206" s="7" t="s">
        <v>141</v>
      </c>
      <c r="D206" s="7" t="s">
        <v>98</v>
      </c>
      <c r="E206" s="7" t="s">
        <v>784</v>
      </c>
      <c r="F206" s="7" t="s">
        <v>100</v>
      </c>
      <c r="G206" s="7" t="s">
        <v>101</v>
      </c>
      <c r="H206" s="7" t="s">
        <v>428</v>
      </c>
      <c r="I206" s="7" t="s">
        <v>429</v>
      </c>
      <c r="J206" s="7" t="s">
        <v>785</v>
      </c>
      <c r="K206" s="7" t="s">
        <v>85</v>
      </c>
      <c r="L206" s="7" t="s">
        <v>786</v>
      </c>
      <c r="M206" s="7" t="s">
        <v>87</v>
      </c>
      <c r="N206" s="7"/>
      <c r="O206" s="7"/>
      <c r="P206" s="7" t="s">
        <v>787</v>
      </c>
      <c r="Q206" s="7" t="s">
        <v>788</v>
      </c>
      <c r="R206" s="7" t="s">
        <v>789</v>
      </c>
      <c r="S206" s="7" t="s">
        <v>756</v>
      </c>
      <c r="T206" s="7" t="s">
        <v>92</v>
      </c>
      <c r="U206" s="7"/>
      <c r="V206" s="7"/>
      <c r="W206" s="7"/>
      <c r="X206" s="7"/>
      <c r="Y206" s="7"/>
      <c r="Z206" s="7"/>
      <c r="AA206" s="7"/>
      <c r="AB206" s="7" t="s">
        <v>790</v>
      </c>
      <c r="AC206" s="8" t="s">
        <v>791</v>
      </c>
      <c r="AD206" s="7"/>
      <c r="AE206" s="7" t="s">
        <v>792</v>
      </c>
      <c r="AF206" s="7"/>
      <c r="AG206" s="7" t="s">
        <v>793</v>
      </c>
    </row>
    <row r="207" customFormat="false" ht="23.85" hidden="false" customHeight="false" outlineLevel="0" collapsed="false">
      <c r="A207" s="7" t="s">
        <v>2112</v>
      </c>
      <c r="B207" s="7" t="s">
        <v>116</v>
      </c>
      <c r="C207" s="7" t="s">
        <v>985</v>
      </c>
      <c r="D207" s="7" t="s">
        <v>78</v>
      </c>
      <c r="E207" s="7" t="s">
        <v>2113</v>
      </c>
      <c r="F207" s="7" t="s">
        <v>100</v>
      </c>
      <c r="G207" s="7" t="s">
        <v>101</v>
      </c>
      <c r="H207" s="7" t="s">
        <v>428</v>
      </c>
      <c r="I207" s="7" t="s">
        <v>429</v>
      </c>
      <c r="J207" s="7" t="s">
        <v>2114</v>
      </c>
      <c r="K207" s="7" t="s">
        <v>85</v>
      </c>
      <c r="L207" s="7" t="s">
        <v>105</v>
      </c>
      <c r="M207" s="7" t="s">
        <v>87</v>
      </c>
      <c r="N207" s="7"/>
      <c r="O207" s="7"/>
      <c r="P207" s="7" t="s">
        <v>88</v>
      </c>
      <c r="Q207" s="7" t="s">
        <v>1276</v>
      </c>
      <c r="R207" s="7" t="s">
        <v>2115</v>
      </c>
      <c r="S207" s="7"/>
      <c r="T207" s="7" t="s">
        <v>109</v>
      </c>
      <c r="U207" s="7" t="s">
        <v>2116</v>
      </c>
      <c r="V207" s="8" t="s">
        <v>2117</v>
      </c>
      <c r="W207" s="7"/>
      <c r="X207" s="7"/>
      <c r="Y207" s="7"/>
      <c r="Z207" s="7"/>
      <c r="AA207" s="7"/>
      <c r="AB207" s="7"/>
      <c r="AC207" s="8" t="s">
        <v>2117</v>
      </c>
      <c r="AD207" s="7" t="s">
        <v>2118</v>
      </c>
      <c r="AE207" s="7" t="s">
        <v>2119</v>
      </c>
      <c r="AF207" s="7" t="s">
        <v>2120</v>
      </c>
      <c r="AG207" s="7" t="s">
        <v>2121</v>
      </c>
    </row>
    <row r="208" customFormat="false" ht="23.85" hidden="false" customHeight="false" outlineLevel="0" collapsed="false">
      <c r="A208" s="7" t="s">
        <v>2122</v>
      </c>
      <c r="B208" s="7" t="s">
        <v>116</v>
      </c>
      <c r="C208" s="7" t="s">
        <v>985</v>
      </c>
      <c r="D208" s="7" t="s">
        <v>78</v>
      </c>
      <c r="E208" s="7" t="s">
        <v>2123</v>
      </c>
      <c r="F208" s="7" t="s">
        <v>379</v>
      </c>
      <c r="G208" s="7" t="s">
        <v>101</v>
      </c>
      <c r="H208" s="7" t="s">
        <v>428</v>
      </c>
      <c r="I208" s="7" t="s">
        <v>429</v>
      </c>
      <c r="J208" s="7" t="s">
        <v>2124</v>
      </c>
      <c r="K208" s="7" t="s">
        <v>85</v>
      </c>
      <c r="L208" s="7" t="s">
        <v>105</v>
      </c>
      <c r="M208" s="7" t="s">
        <v>87</v>
      </c>
      <c r="N208" s="7"/>
      <c r="O208" s="7"/>
      <c r="P208" s="7" t="s">
        <v>88</v>
      </c>
      <c r="Q208" s="7" t="s">
        <v>988</v>
      </c>
      <c r="R208" s="7" t="s">
        <v>2125</v>
      </c>
      <c r="S208" s="7"/>
      <c r="T208" s="7" t="s">
        <v>109</v>
      </c>
      <c r="U208" s="7" t="s">
        <v>2126</v>
      </c>
      <c r="V208" s="8" t="s">
        <v>2127</v>
      </c>
      <c r="W208" s="7"/>
      <c r="X208" s="7"/>
      <c r="Y208" s="7"/>
      <c r="Z208" s="7"/>
      <c r="AA208" s="7"/>
      <c r="AB208" s="7"/>
      <c r="AC208" s="8" t="s">
        <v>2127</v>
      </c>
      <c r="AD208" s="7" t="s">
        <v>2128</v>
      </c>
      <c r="AE208" s="7"/>
      <c r="AF208" s="7"/>
      <c r="AG208" s="7" t="s">
        <v>96</v>
      </c>
    </row>
    <row r="209" customFormat="false" ht="35.05" hidden="false" customHeight="false" outlineLevel="0" collapsed="false">
      <c r="A209" s="7" t="s">
        <v>930</v>
      </c>
      <c r="B209" s="7" t="s">
        <v>811</v>
      </c>
      <c r="C209" s="7" t="s">
        <v>141</v>
      </c>
      <c r="D209" s="7" t="s">
        <v>98</v>
      </c>
      <c r="E209" s="7" t="s">
        <v>931</v>
      </c>
      <c r="F209" s="7" t="s">
        <v>257</v>
      </c>
      <c r="G209" s="7" t="s">
        <v>101</v>
      </c>
      <c r="H209" s="7" t="s">
        <v>428</v>
      </c>
      <c r="I209" s="7" t="s">
        <v>429</v>
      </c>
      <c r="J209" s="7" t="s">
        <v>932</v>
      </c>
      <c r="K209" s="7" t="s">
        <v>85</v>
      </c>
      <c r="L209" s="7" t="s">
        <v>105</v>
      </c>
      <c r="M209" s="7" t="s">
        <v>87</v>
      </c>
      <c r="N209" s="7"/>
      <c r="O209" s="7"/>
      <c r="P209" s="7" t="s">
        <v>106</v>
      </c>
      <c r="Q209" s="7" t="s">
        <v>144</v>
      </c>
      <c r="R209" s="7" t="s">
        <v>933</v>
      </c>
      <c r="S209" s="7"/>
      <c r="T209" s="7" t="s">
        <v>92</v>
      </c>
      <c r="U209" s="7"/>
      <c r="V209" s="7"/>
      <c r="W209" s="7"/>
      <c r="X209" s="7"/>
      <c r="Y209" s="7"/>
      <c r="Z209" s="7"/>
      <c r="AA209" s="7"/>
      <c r="AB209" s="7"/>
      <c r="AC209" s="8" t="s">
        <v>556</v>
      </c>
      <c r="AD209" s="7" t="s">
        <v>934</v>
      </c>
      <c r="AE209" s="7"/>
      <c r="AF209" s="7"/>
      <c r="AG209" s="7" t="s">
        <v>935</v>
      </c>
    </row>
    <row r="210" customFormat="false" ht="68.65" hidden="false" customHeight="false" outlineLevel="0" collapsed="false">
      <c r="A210" s="7" t="s">
        <v>2129</v>
      </c>
      <c r="B210" s="7" t="s">
        <v>116</v>
      </c>
      <c r="C210" s="7" t="s">
        <v>985</v>
      </c>
      <c r="D210" s="7" t="s">
        <v>78</v>
      </c>
      <c r="E210" s="7" t="s">
        <v>2130</v>
      </c>
      <c r="F210" s="7" t="s">
        <v>257</v>
      </c>
      <c r="G210" s="7" t="s">
        <v>101</v>
      </c>
      <c r="H210" s="7" t="s">
        <v>428</v>
      </c>
      <c r="I210" s="7" t="s">
        <v>2131</v>
      </c>
      <c r="J210" s="7" t="s">
        <v>2132</v>
      </c>
      <c r="K210" s="7" t="s">
        <v>85</v>
      </c>
      <c r="L210" s="7" t="s">
        <v>105</v>
      </c>
      <c r="M210" s="7" t="s">
        <v>87</v>
      </c>
      <c r="N210" s="7"/>
      <c r="O210" s="7"/>
      <c r="P210" s="7" t="s">
        <v>88</v>
      </c>
      <c r="Q210" s="7" t="s">
        <v>988</v>
      </c>
      <c r="R210" s="7" t="s">
        <v>2133</v>
      </c>
      <c r="S210" s="7"/>
      <c r="T210" s="7" t="s">
        <v>1014</v>
      </c>
      <c r="U210" s="7"/>
      <c r="V210" s="7"/>
      <c r="W210" s="7"/>
      <c r="X210" s="7"/>
      <c r="Y210" s="7" t="s">
        <v>2134</v>
      </c>
      <c r="Z210" s="7"/>
      <c r="AA210" s="7"/>
      <c r="AB210" s="7"/>
      <c r="AC210" s="8" t="s">
        <v>2135</v>
      </c>
      <c r="AD210" s="7"/>
      <c r="AE210" s="7" t="s">
        <v>2136</v>
      </c>
      <c r="AF210" s="7"/>
      <c r="AG210" s="7" t="s">
        <v>2137</v>
      </c>
    </row>
    <row r="211" customFormat="false" ht="46.25" hidden="false" customHeight="false" outlineLevel="0" collapsed="false">
      <c r="A211" s="7" t="s">
        <v>2138</v>
      </c>
      <c r="B211" s="7" t="s">
        <v>116</v>
      </c>
      <c r="C211" s="7" t="s">
        <v>985</v>
      </c>
      <c r="D211" s="7" t="s">
        <v>98</v>
      </c>
      <c r="E211" s="7" t="s">
        <v>2139</v>
      </c>
      <c r="F211" s="7" t="s">
        <v>80</v>
      </c>
      <c r="G211" s="7" t="s">
        <v>101</v>
      </c>
      <c r="H211" s="7" t="s">
        <v>459</v>
      </c>
      <c r="I211" s="7" t="s">
        <v>2140</v>
      </c>
      <c r="J211" s="7" t="s">
        <v>2141</v>
      </c>
      <c r="K211" s="7" t="s">
        <v>85</v>
      </c>
      <c r="L211" s="7" t="s">
        <v>105</v>
      </c>
      <c r="M211" s="7" t="s">
        <v>87</v>
      </c>
      <c r="N211" s="7" t="s">
        <v>2142</v>
      </c>
      <c r="O211" s="7"/>
      <c r="P211" s="7" t="s">
        <v>106</v>
      </c>
      <c r="Q211" s="7" t="s">
        <v>988</v>
      </c>
      <c r="R211" s="7" t="s">
        <v>2143</v>
      </c>
      <c r="S211" s="7"/>
      <c r="T211" s="7" t="s">
        <v>92</v>
      </c>
      <c r="U211" s="7"/>
      <c r="V211" s="7"/>
      <c r="W211" s="7"/>
      <c r="X211" s="7"/>
      <c r="Y211" s="7"/>
      <c r="Z211" s="7"/>
      <c r="AA211" s="7"/>
      <c r="AB211" s="7"/>
      <c r="AC211" s="8" t="s">
        <v>2144</v>
      </c>
      <c r="AD211" s="7"/>
      <c r="AE211" s="7" t="s">
        <v>2145</v>
      </c>
      <c r="AF211" s="7"/>
      <c r="AG211" s="7" t="s">
        <v>2146</v>
      </c>
    </row>
    <row r="212" customFormat="false" ht="46.25" hidden="false" customHeight="false" outlineLevel="0" collapsed="false">
      <c r="A212" s="7" t="s">
        <v>2147</v>
      </c>
      <c r="B212" s="7" t="s">
        <v>76</v>
      </c>
      <c r="C212" s="7" t="s">
        <v>985</v>
      </c>
      <c r="D212" s="7" t="s">
        <v>98</v>
      </c>
      <c r="E212" s="7" t="s">
        <v>2148</v>
      </c>
      <c r="F212" s="7" t="s">
        <v>100</v>
      </c>
      <c r="G212" s="7" t="s">
        <v>101</v>
      </c>
      <c r="H212" s="7" t="s">
        <v>459</v>
      </c>
      <c r="I212" s="7" t="s">
        <v>2149</v>
      </c>
      <c r="J212" s="7" t="s">
        <v>2150</v>
      </c>
      <c r="K212" s="7" t="s">
        <v>291</v>
      </c>
      <c r="L212" s="7" t="s">
        <v>2151</v>
      </c>
      <c r="M212" s="7" t="s">
        <v>2152</v>
      </c>
      <c r="N212" s="7"/>
      <c r="O212" s="7" t="s">
        <v>2153</v>
      </c>
      <c r="P212" s="7" t="s">
        <v>2154</v>
      </c>
      <c r="Q212" s="7" t="s">
        <v>2155</v>
      </c>
      <c r="R212" s="7" t="s">
        <v>2156</v>
      </c>
      <c r="S212" s="7" t="s">
        <v>2157</v>
      </c>
      <c r="T212" s="7" t="s">
        <v>189</v>
      </c>
      <c r="U212" s="7"/>
      <c r="V212" s="7"/>
      <c r="W212" s="8" t="s">
        <v>2158</v>
      </c>
      <c r="X212" s="7"/>
      <c r="Y212" s="7"/>
      <c r="Z212" s="7"/>
      <c r="AA212" s="7"/>
      <c r="AB212" s="7" t="s">
        <v>2159</v>
      </c>
      <c r="AC212" s="8" t="s">
        <v>2158</v>
      </c>
      <c r="AD212" s="7"/>
      <c r="AE212" s="7" t="s">
        <v>2160</v>
      </c>
      <c r="AF212" s="7" t="s">
        <v>2161</v>
      </c>
      <c r="AG212" s="7" t="s">
        <v>2162</v>
      </c>
    </row>
    <row r="213" customFormat="false" ht="35.05" hidden="false" customHeight="false" outlineLevel="0" collapsed="false">
      <c r="A213" s="7" t="s">
        <v>583</v>
      </c>
      <c r="B213" s="7" t="s">
        <v>76</v>
      </c>
      <c r="C213" s="7" t="s">
        <v>141</v>
      </c>
      <c r="D213" s="7" t="s">
        <v>98</v>
      </c>
      <c r="E213" s="7" t="s">
        <v>584</v>
      </c>
      <c r="F213" s="7" t="s">
        <v>80</v>
      </c>
      <c r="G213" s="7" t="s">
        <v>101</v>
      </c>
      <c r="H213" s="7" t="s">
        <v>459</v>
      </c>
      <c r="I213" s="7" t="s">
        <v>460</v>
      </c>
      <c r="J213" s="7" t="s">
        <v>585</v>
      </c>
      <c r="K213" s="7" t="s">
        <v>85</v>
      </c>
      <c r="L213" s="7" t="s">
        <v>105</v>
      </c>
      <c r="M213" s="7" t="s">
        <v>87</v>
      </c>
      <c r="N213" s="7"/>
      <c r="O213" s="7"/>
      <c r="P213" s="7" t="s">
        <v>106</v>
      </c>
      <c r="Q213" s="7" t="s">
        <v>144</v>
      </c>
      <c r="R213" s="7" t="s">
        <v>586</v>
      </c>
      <c r="S213" s="7"/>
      <c r="T213" s="7" t="s">
        <v>92</v>
      </c>
      <c r="U213" s="7"/>
      <c r="V213" s="7"/>
      <c r="W213" s="7"/>
      <c r="X213" s="7"/>
      <c r="Y213" s="7"/>
      <c r="Z213" s="7"/>
      <c r="AA213" s="7"/>
      <c r="AB213" s="7"/>
      <c r="AC213" s="8" t="s">
        <v>462</v>
      </c>
      <c r="AD213" s="7" t="s">
        <v>177</v>
      </c>
      <c r="AE213" s="7"/>
      <c r="AF213" s="7"/>
      <c r="AG213" s="7" t="s">
        <v>96</v>
      </c>
    </row>
    <row r="214" customFormat="false" ht="35.05" hidden="false" customHeight="false" outlineLevel="0" collapsed="false">
      <c r="A214" s="7" t="s">
        <v>457</v>
      </c>
      <c r="B214" s="7" t="s">
        <v>76</v>
      </c>
      <c r="C214" s="7" t="s">
        <v>141</v>
      </c>
      <c r="D214" s="7" t="s">
        <v>78</v>
      </c>
      <c r="E214" s="7" t="s">
        <v>458</v>
      </c>
      <c r="F214" s="7" t="s">
        <v>379</v>
      </c>
      <c r="G214" s="7" t="s">
        <v>101</v>
      </c>
      <c r="H214" s="7" t="s">
        <v>459</v>
      </c>
      <c r="I214" s="7" t="s">
        <v>460</v>
      </c>
      <c r="J214" s="7"/>
      <c r="K214" s="7" t="s">
        <v>85</v>
      </c>
      <c r="L214" s="7" t="s">
        <v>105</v>
      </c>
      <c r="M214" s="7" t="s">
        <v>87</v>
      </c>
      <c r="N214" s="7"/>
      <c r="O214" s="7"/>
      <c r="P214" s="7" t="s">
        <v>88</v>
      </c>
      <c r="Q214" s="7" t="s">
        <v>144</v>
      </c>
      <c r="R214" s="7" t="s">
        <v>461</v>
      </c>
      <c r="S214" s="7"/>
      <c r="T214" s="7" t="s">
        <v>92</v>
      </c>
      <c r="U214" s="7"/>
      <c r="V214" s="7"/>
      <c r="W214" s="7"/>
      <c r="X214" s="7"/>
      <c r="Y214" s="7"/>
      <c r="Z214" s="7"/>
      <c r="AA214" s="7"/>
      <c r="AB214" s="7"/>
      <c r="AC214" s="8" t="s">
        <v>462</v>
      </c>
      <c r="AD214" s="7" t="s">
        <v>177</v>
      </c>
      <c r="AE214" s="7"/>
      <c r="AF214" s="7"/>
      <c r="AG214" s="7" t="s">
        <v>96</v>
      </c>
    </row>
    <row r="215" customFormat="false" ht="79.85" hidden="false" customHeight="false" outlineLevel="0" collapsed="false">
      <c r="A215" s="7" t="s">
        <v>463</v>
      </c>
      <c r="B215" s="7" t="s">
        <v>76</v>
      </c>
      <c r="C215" s="7" t="s">
        <v>141</v>
      </c>
      <c r="D215" s="7" t="s">
        <v>78</v>
      </c>
      <c r="E215" s="7" t="s">
        <v>464</v>
      </c>
      <c r="F215" s="7" t="s">
        <v>80</v>
      </c>
      <c r="G215" s="7" t="s">
        <v>101</v>
      </c>
      <c r="H215" s="7" t="s">
        <v>459</v>
      </c>
      <c r="I215" s="7" t="s">
        <v>460</v>
      </c>
      <c r="J215" s="7" t="s">
        <v>465</v>
      </c>
      <c r="K215" s="7" t="s">
        <v>85</v>
      </c>
      <c r="L215" s="7" t="s">
        <v>466</v>
      </c>
      <c r="M215" s="7" t="s">
        <v>87</v>
      </c>
      <c r="N215" s="7"/>
      <c r="O215" s="7"/>
      <c r="P215" s="7" t="s">
        <v>88</v>
      </c>
      <c r="Q215" s="7" t="s">
        <v>144</v>
      </c>
      <c r="R215" s="7" t="s">
        <v>467</v>
      </c>
      <c r="S215" s="7"/>
      <c r="T215" s="7" t="s">
        <v>92</v>
      </c>
      <c r="U215" s="7"/>
      <c r="V215" s="7"/>
      <c r="W215" s="7"/>
      <c r="X215" s="7"/>
      <c r="Y215" s="7"/>
      <c r="Z215" s="7"/>
      <c r="AA215" s="7"/>
      <c r="AB215" s="7"/>
      <c r="AC215" s="8" t="s">
        <v>462</v>
      </c>
      <c r="AD215" s="7"/>
      <c r="AE215" s="7" t="s">
        <v>468</v>
      </c>
      <c r="AF215" s="7"/>
      <c r="AG215" s="7" t="s">
        <v>469</v>
      </c>
    </row>
    <row r="216" customFormat="false" ht="68.65" hidden="false" customHeight="false" outlineLevel="0" collapsed="false">
      <c r="A216" s="7" t="s">
        <v>2163</v>
      </c>
      <c r="B216" s="7" t="s">
        <v>76</v>
      </c>
      <c r="C216" s="7" t="s">
        <v>985</v>
      </c>
      <c r="D216" s="7" t="s">
        <v>78</v>
      </c>
      <c r="E216" s="7" t="s">
        <v>2164</v>
      </c>
      <c r="F216" s="7" t="s">
        <v>100</v>
      </c>
      <c r="G216" s="7" t="s">
        <v>101</v>
      </c>
      <c r="H216" s="7" t="s">
        <v>459</v>
      </c>
      <c r="I216" s="7" t="s">
        <v>460</v>
      </c>
      <c r="J216" s="7" t="s">
        <v>2165</v>
      </c>
      <c r="K216" s="7" t="s">
        <v>2166</v>
      </c>
      <c r="L216" s="7" t="s">
        <v>2167</v>
      </c>
      <c r="M216" s="7" t="s">
        <v>2168</v>
      </c>
      <c r="N216" s="7" t="s">
        <v>490</v>
      </c>
      <c r="O216" s="7" t="s">
        <v>2169</v>
      </c>
      <c r="P216" s="7" t="s">
        <v>2170</v>
      </c>
      <c r="Q216" s="7" t="s">
        <v>2171</v>
      </c>
      <c r="R216" s="7" t="s">
        <v>2172</v>
      </c>
      <c r="S216" s="7" t="s">
        <v>2173</v>
      </c>
      <c r="T216" s="7" t="s">
        <v>109</v>
      </c>
      <c r="U216" s="7" t="s">
        <v>2174</v>
      </c>
      <c r="V216" s="8" t="s">
        <v>2175</v>
      </c>
      <c r="W216" s="8" t="s">
        <v>2176</v>
      </c>
      <c r="X216" s="7"/>
      <c r="Y216" s="7"/>
      <c r="Z216" s="7"/>
      <c r="AA216" s="7"/>
      <c r="AB216" s="7"/>
      <c r="AC216" s="8" t="s">
        <v>2176</v>
      </c>
      <c r="AD216" s="7"/>
      <c r="AE216" s="7" t="s">
        <v>2177</v>
      </c>
      <c r="AF216" s="7" t="s">
        <v>2178</v>
      </c>
      <c r="AG216" s="7" t="s">
        <v>2179</v>
      </c>
    </row>
    <row r="217" customFormat="false" ht="46.25" hidden="false" customHeight="false" outlineLevel="0" collapsed="false">
      <c r="A217" s="7" t="s">
        <v>2180</v>
      </c>
      <c r="B217" s="7" t="s">
        <v>116</v>
      </c>
      <c r="C217" s="7" t="s">
        <v>985</v>
      </c>
      <c r="D217" s="7" t="s">
        <v>98</v>
      </c>
      <c r="E217" s="7" t="s">
        <v>2181</v>
      </c>
      <c r="F217" s="7" t="s">
        <v>80</v>
      </c>
      <c r="G217" s="7" t="s">
        <v>101</v>
      </c>
      <c r="H217" s="7" t="s">
        <v>459</v>
      </c>
      <c r="I217" s="7" t="s">
        <v>460</v>
      </c>
      <c r="J217" s="7" t="s">
        <v>2182</v>
      </c>
      <c r="K217" s="7" t="s">
        <v>291</v>
      </c>
      <c r="L217" s="7" t="s">
        <v>2183</v>
      </c>
      <c r="M217" s="7" t="s">
        <v>2184</v>
      </c>
      <c r="N217" s="7"/>
      <c r="O217" s="7"/>
      <c r="P217" s="7" t="s">
        <v>2185</v>
      </c>
      <c r="Q217" s="7" t="s">
        <v>988</v>
      </c>
      <c r="R217" s="7" t="s">
        <v>2186</v>
      </c>
      <c r="S217" s="7" t="s">
        <v>2187</v>
      </c>
      <c r="T217" s="7" t="s">
        <v>92</v>
      </c>
      <c r="U217" s="7"/>
      <c r="V217" s="7"/>
      <c r="W217" s="7"/>
      <c r="X217" s="7"/>
      <c r="Y217" s="7"/>
      <c r="Z217" s="7"/>
      <c r="AA217" s="7"/>
      <c r="AB217" s="7"/>
      <c r="AC217" s="8" t="s">
        <v>2188</v>
      </c>
      <c r="AD217" s="7"/>
      <c r="AE217" s="7"/>
      <c r="AF217" s="7"/>
      <c r="AG217" s="7" t="s">
        <v>2189</v>
      </c>
    </row>
    <row r="218" customFormat="false" ht="68.65" hidden="false" customHeight="false" outlineLevel="0" collapsed="false">
      <c r="A218" s="7" t="s">
        <v>794</v>
      </c>
      <c r="B218" s="7" t="s">
        <v>116</v>
      </c>
      <c r="C218" s="7" t="s">
        <v>141</v>
      </c>
      <c r="D218" s="7" t="s">
        <v>98</v>
      </c>
      <c r="E218" s="7" t="s">
        <v>795</v>
      </c>
      <c r="F218" s="7" t="s">
        <v>80</v>
      </c>
      <c r="G218" s="7" t="s">
        <v>101</v>
      </c>
      <c r="H218" s="7" t="s">
        <v>459</v>
      </c>
      <c r="I218" s="7" t="s">
        <v>460</v>
      </c>
      <c r="J218" s="7" t="s">
        <v>796</v>
      </c>
      <c r="K218" s="7" t="s">
        <v>85</v>
      </c>
      <c r="L218" s="7" t="s">
        <v>105</v>
      </c>
      <c r="M218" s="7" t="s">
        <v>87</v>
      </c>
      <c r="N218" s="7" t="s">
        <v>797</v>
      </c>
      <c r="O218" s="7"/>
      <c r="P218" s="7" t="s">
        <v>106</v>
      </c>
      <c r="Q218" s="7" t="s">
        <v>144</v>
      </c>
      <c r="R218" s="7" t="s">
        <v>798</v>
      </c>
      <c r="S218" s="7"/>
      <c r="T218" s="7" t="s">
        <v>92</v>
      </c>
      <c r="U218" s="7"/>
      <c r="V218" s="7"/>
      <c r="W218" s="7"/>
      <c r="X218" s="7"/>
      <c r="Y218" s="7"/>
      <c r="Z218" s="7"/>
      <c r="AA218" s="7"/>
      <c r="AB218" s="7"/>
      <c r="AC218" s="8" t="s">
        <v>462</v>
      </c>
      <c r="AD218" s="7"/>
      <c r="AE218" s="7" t="s">
        <v>799</v>
      </c>
      <c r="AF218" s="7"/>
      <c r="AG218" s="7" t="s">
        <v>800</v>
      </c>
    </row>
    <row r="219" customFormat="false" ht="35.05" hidden="false" customHeight="false" outlineLevel="0" collapsed="false">
      <c r="A219" s="7" t="s">
        <v>2190</v>
      </c>
      <c r="B219" s="7" t="s">
        <v>116</v>
      </c>
      <c r="C219" s="7" t="s">
        <v>985</v>
      </c>
      <c r="D219" s="7" t="s">
        <v>98</v>
      </c>
      <c r="E219" s="7" t="s">
        <v>2191</v>
      </c>
      <c r="F219" s="7" t="s">
        <v>379</v>
      </c>
      <c r="G219" s="7" t="s">
        <v>101</v>
      </c>
      <c r="H219" s="7" t="s">
        <v>459</v>
      </c>
      <c r="I219" s="7" t="s">
        <v>460</v>
      </c>
      <c r="J219" s="7" t="s">
        <v>2192</v>
      </c>
      <c r="K219" s="7" t="s">
        <v>85</v>
      </c>
      <c r="L219" s="7" t="s">
        <v>105</v>
      </c>
      <c r="M219" s="7" t="s">
        <v>87</v>
      </c>
      <c r="N219" s="7"/>
      <c r="O219" s="7"/>
      <c r="P219" s="7" t="s">
        <v>106</v>
      </c>
      <c r="Q219" s="7" t="s">
        <v>988</v>
      </c>
      <c r="R219" s="7" t="s">
        <v>2193</v>
      </c>
      <c r="S219" s="7" t="s">
        <v>2194</v>
      </c>
      <c r="T219" s="7" t="s">
        <v>109</v>
      </c>
      <c r="U219" s="7" t="s">
        <v>2195</v>
      </c>
      <c r="V219" s="8" t="s">
        <v>2196</v>
      </c>
      <c r="W219" s="7"/>
      <c r="X219" s="7"/>
      <c r="Y219" s="7"/>
      <c r="Z219" s="7"/>
      <c r="AA219" s="7"/>
      <c r="AB219" s="7"/>
      <c r="AC219" s="8" t="s">
        <v>2196</v>
      </c>
      <c r="AD219" s="7" t="s">
        <v>2197</v>
      </c>
      <c r="AE219" s="7"/>
      <c r="AF219" s="7"/>
      <c r="AG219" s="7" t="s">
        <v>2198</v>
      </c>
    </row>
    <row r="220" customFormat="false" ht="35.05" hidden="false" customHeight="false" outlineLevel="0" collapsed="false">
      <c r="A220" s="7" t="s">
        <v>2199</v>
      </c>
      <c r="B220" s="7" t="s">
        <v>116</v>
      </c>
      <c r="C220" s="7" t="s">
        <v>985</v>
      </c>
      <c r="D220" s="7" t="s">
        <v>78</v>
      </c>
      <c r="E220" s="7" t="s">
        <v>2200</v>
      </c>
      <c r="F220" s="7" t="s">
        <v>379</v>
      </c>
      <c r="G220" s="7" t="s">
        <v>101</v>
      </c>
      <c r="H220" s="7" t="s">
        <v>459</v>
      </c>
      <c r="I220" s="7" t="s">
        <v>460</v>
      </c>
      <c r="J220" s="7" t="s">
        <v>2201</v>
      </c>
      <c r="K220" s="7" t="s">
        <v>85</v>
      </c>
      <c r="L220" s="7" t="s">
        <v>105</v>
      </c>
      <c r="M220" s="7" t="s">
        <v>87</v>
      </c>
      <c r="N220" s="7"/>
      <c r="O220" s="7"/>
      <c r="P220" s="7" t="s">
        <v>88</v>
      </c>
      <c r="Q220" s="7" t="s">
        <v>988</v>
      </c>
      <c r="R220" s="7" t="s">
        <v>2202</v>
      </c>
      <c r="S220" s="7" t="s">
        <v>2203</v>
      </c>
      <c r="T220" s="7" t="s">
        <v>109</v>
      </c>
      <c r="U220" s="7" t="s">
        <v>2204</v>
      </c>
      <c r="V220" s="8" t="s">
        <v>2205</v>
      </c>
      <c r="W220" s="7"/>
      <c r="X220" s="7"/>
      <c r="Y220" s="7"/>
      <c r="Z220" s="7"/>
      <c r="AA220" s="7"/>
      <c r="AB220" s="7"/>
      <c r="AC220" s="8" t="s">
        <v>2205</v>
      </c>
      <c r="AD220" s="7"/>
      <c r="AE220" s="7" t="s">
        <v>626</v>
      </c>
      <c r="AF220" s="7"/>
      <c r="AG220" s="7" t="s">
        <v>2206</v>
      </c>
    </row>
    <row r="221" customFormat="false" ht="57.45" hidden="false" customHeight="false" outlineLevel="0" collapsed="false">
      <c r="A221" s="7" t="s">
        <v>2207</v>
      </c>
      <c r="B221" s="7" t="s">
        <v>76</v>
      </c>
      <c r="C221" s="7" t="s">
        <v>985</v>
      </c>
      <c r="D221" s="7" t="s">
        <v>78</v>
      </c>
      <c r="E221" s="7" t="s">
        <v>2208</v>
      </c>
      <c r="F221" s="7" t="s">
        <v>80</v>
      </c>
      <c r="G221" s="7" t="s">
        <v>101</v>
      </c>
      <c r="H221" s="7" t="s">
        <v>459</v>
      </c>
      <c r="I221" s="7" t="s">
        <v>2209</v>
      </c>
      <c r="J221" s="7" t="s">
        <v>2210</v>
      </c>
      <c r="K221" s="7" t="s">
        <v>85</v>
      </c>
      <c r="L221" s="7" t="s">
        <v>2211</v>
      </c>
      <c r="M221" s="7" t="s">
        <v>87</v>
      </c>
      <c r="N221" s="7"/>
      <c r="O221" s="7"/>
      <c r="P221" s="7" t="s">
        <v>88</v>
      </c>
      <c r="Q221" s="7" t="s">
        <v>2212</v>
      </c>
      <c r="R221" s="7" t="s">
        <v>2213</v>
      </c>
      <c r="S221" s="7"/>
      <c r="T221" s="7" t="s">
        <v>92</v>
      </c>
      <c r="U221" s="7"/>
      <c r="V221" s="7"/>
      <c r="W221" s="7"/>
      <c r="X221" s="7"/>
      <c r="Y221" s="7"/>
      <c r="Z221" s="7"/>
      <c r="AA221" s="7"/>
      <c r="AB221" s="7"/>
      <c r="AC221" s="8" t="s">
        <v>2214</v>
      </c>
      <c r="AD221" s="7"/>
      <c r="AE221" s="7" t="s">
        <v>2215</v>
      </c>
      <c r="AF221" s="7" t="s">
        <v>2216</v>
      </c>
      <c r="AG221" s="7" t="s">
        <v>2217</v>
      </c>
    </row>
    <row r="222" customFormat="false" ht="35.05" hidden="false" customHeight="false" outlineLevel="0" collapsed="false">
      <c r="A222" s="7" t="s">
        <v>2218</v>
      </c>
      <c r="B222" s="7" t="s">
        <v>116</v>
      </c>
      <c r="C222" s="7" t="s">
        <v>985</v>
      </c>
      <c r="D222" s="7" t="s">
        <v>98</v>
      </c>
      <c r="E222" s="7" t="s">
        <v>2219</v>
      </c>
      <c r="F222" s="7" t="s">
        <v>80</v>
      </c>
      <c r="G222" s="7" t="s">
        <v>101</v>
      </c>
      <c r="H222" s="7" t="s">
        <v>459</v>
      </c>
      <c r="I222" s="7" t="s">
        <v>2209</v>
      </c>
      <c r="J222" s="7" t="s">
        <v>2220</v>
      </c>
      <c r="K222" s="7" t="s">
        <v>85</v>
      </c>
      <c r="L222" s="7" t="s">
        <v>2221</v>
      </c>
      <c r="M222" s="7" t="s">
        <v>87</v>
      </c>
      <c r="N222" s="7"/>
      <c r="O222" s="7"/>
      <c r="P222" s="7" t="s">
        <v>106</v>
      </c>
      <c r="Q222" s="7" t="s">
        <v>988</v>
      </c>
      <c r="R222" s="7" t="s">
        <v>2222</v>
      </c>
      <c r="S222" s="7" t="s">
        <v>2223</v>
      </c>
      <c r="T222" s="7" t="s">
        <v>92</v>
      </c>
      <c r="U222" s="7"/>
      <c r="V222" s="7"/>
      <c r="W222" s="7"/>
      <c r="X222" s="7"/>
      <c r="Y222" s="7"/>
      <c r="Z222" s="7"/>
      <c r="AA222" s="7"/>
      <c r="AB222" s="7"/>
      <c r="AC222" s="8" t="s">
        <v>2214</v>
      </c>
      <c r="AD222" s="7"/>
      <c r="AE222" s="7"/>
      <c r="AF222" s="7"/>
      <c r="AG222" s="7" t="s">
        <v>2224</v>
      </c>
    </row>
    <row r="223" customFormat="false" ht="35.05" hidden="false" customHeight="false" outlineLevel="0" collapsed="false">
      <c r="A223" s="7" t="s">
        <v>2225</v>
      </c>
      <c r="B223" s="7" t="s">
        <v>116</v>
      </c>
      <c r="C223" s="7" t="s">
        <v>985</v>
      </c>
      <c r="D223" s="7" t="s">
        <v>78</v>
      </c>
      <c r="E223" s="7" t="s">
        <v>2226</v>
      </c>
      <c r="F223" s="7" t="s">
        <v>100</v>
      </c>
      <c r="G223" s="7" t="s">
        <v>101</v>
      </c>
      <c r="H223" s="7" t="s">
        <v>459</v>
      </c>
      <c r="I223" s="7" t="s">
        <v>2209</v>
      </c>
      <c r="J223" s="7" t="s">
        <v>2227</v>
      </c>
      <c r="K223" s="7" t="s">
        <v>85</v>
      </c>
      <c r="L223" s="7" t="s">
        <v>2228</v>
      </c>
      <c r="M223" s="7" t="s">
        <v>87</v>
      </c>
      <c r="N223" s="7"/>
      <c r="O223" s="7"/>
      <c r="P223" s="7" t="s">
        <v>88</v>
      </c>
      <c r="Q223" s="7" t="s">
        <v>1276</v>
      </c>
      <c r="R223" s="7" t="s">
        <v>2229</v>
      </c>
      <c r="S223" s="7"/>
      <c r="T223" s="7" t="s">
        <v>109</v>
      </c>
      <c r="U223" s="7" t="s">
        <v>2230</v>
      </c>
      <c r="V223" s="8" t="s">
        <v>2231</v>
      </c>
      <c r="W223" s="7"/>
      <c r="X223" s="7"/>
      <c r="Y223" s="7"/>
      <c r="Z223" s="7"/>
      <c r="AA223" s="7"/>
      <c r="AB223" s="7"/>
      <c r="AC223" s="8" t="s">
        <v>2231</v>
      </c>
      <c r="AD223" s="7"/>
      <c r="AE223" s="7" t="s">
        <v>2232</v>
      </c>
      <c r="AF223" s="7" t="s">
        <v>2233</v>
      </c>
      <c r="AG223" s="7" t="s">
        <v>2234</v>
      </c>
    </row>
    <row r="224" customFormat="false" ht="23.85" hidden="false" customHeight="false" outlineLevel="0" collapsed="false">
      <c r="A224" s="7" t="s">
        <v>2235</v>
      </c>
      <c r="B224" s="7" t="s">
        <v>811</v>
      </c>
      <c r="C224" s="7" t="s">
        <v>985</v>
      </c>
      <c r="D224" s="7" t="s">
        <v>98</v>
      </c>
      <c r="E224" s="7" t="s">
        <v>2236</v>
      </c>
      <c r="F224" s="7" t="s">
        <v>379</v>
      </c>
      <c r="G224" s="7" t="s">
        <v>101</v>
      </c>
      <c r="H224" s="7" t="s">
        <v>459</v>
      </c>
      <c r="I224" s="7" t="s">
        <v>2209</v>
      </c>
      <c r="J224" s="7" t="s">
        <v>2237</v>
      </c>
      <c r="K224" s="7" t="s">
        <v>85</v>
      </c>
      <c r="L224" s="7" t="s">
        <v>2238</v>
      </c>
      <c r="M224" s="7" t="s">
        <v>87</v>
      </c>
      <c r="N224" s="7" t="s">
        <v>2239</v>
      </c>
      <c r="O224" s="7"/>
      <c r="P224" s="7" t="s">
        <v>106</v>
      </c>
      <c r="Q224" s="7" t="s">
        <v>988</v>
      </c>
      <c r="R224" s="7" t="s">
        <v>2240</v>
      </c>
      <c r="S224" s="7"/>
      <c r="T224" s="7" t="s">
        <v>92</v>
      </c>
      <c r="U224" s="7"/>
      <c r="V224" s="7"/>
      <c r="W224" s="7"/>
      <c r="X224" s="7"/>
      <c r="Y224" s="7"/>
      <c r="Z224" s="7"/>
      <c r="AA224" s="7"/>
      <c r="AB224" s="7"/>
      <c r="AC224" s="8" t="s">
        <v>2241</v>
      </c>
      <c r="AD224" s="7"/>
      <c r="AE224" s="7" t="s">
        <v>1467</v>
      </c>
      <c r="AF224" s="7"/>
      <c r="AG224" s="7" t="s">
        <v>2242</v>
      </c>
    </row>
    <row r="225" customFormat="false" ht="46.25" hidden="false" customHeight="false" outlineLevel="0" collapsed="false">
      <c r="A225" s="7" t="s">
        <v>2243</v>
      </c>
      <c r="B225" s="7" t="s">
        <v>811</v>
      </c>
      <c r="C225" s="7" t="s">
        <v>985</v>
      </c>
      <c r="D225" s="7" t="s">
        <v>98</v>
      </c>
      <c r="E225" s="7" t="s">
        <v>2244</v>
      </c>
      <c r="F225" s="7" t="s">
        <v>100</v>
      </c>
      <c r="G225" s="7" t="s">
        <v>101</v>
      </c>
      <c r="H225" s="7" t="s">
        <v>459</v>
      </c>
      <c r="I225" s="7" t="s">
        <v>2209</v>
      </c>
      <c r="J225" s="7" t="s">
        <v>2245</v>
      </c>
      <c r="K225" s="7" t="s">
        <v>85</v>
      </c>
      <c r="L225" s="7" t="s">
        <v>2246</v>
      </c>
      <c r="M225" s="7" t="s">
        <v>87</v>
      </c>
      <c r="N225" s="7"/>
      <c r="O225" s="7"/>
      <c r="P225" s="7" t="s">
        <v>106</v>
      </c>
      <c r="Q225" s="7" t="s">
        <v>1276</v>
      </c>
      <c r="R225" s="7" t="s">
        <v>2247</v>
      </c>
      <c r="S225" s="7" t="s">
        <v>756</v>
      </c>
      <c r="T225" s="7" t="s">
        <v>92</v>
      </c>
      <c r="U225" s="7"/>
      <c r="V225" s="7"/>
      <c r="W225" s="7"/>
      <c r="X225" s="7"/>
      <c r="Y225" s="7"/>
      <c r="Z225" s="7"/>
      <c r="AA225" s="7"/>
      <c r="AB225" s="7"/>
      <c r="AC225" s="8" t="s">
        <v>2214</v>
      </c>
      <c r="AD225" s="7"/>
      <c r="AE225" s="7" t="s">
        <v>2248</v>
      </c>
      <c r="AF225" s="7"/>
      <c r="AG225" s="7" t="s">
        <v>2249</v>
      </c>
    </row>
    <row r="226" customFormat="false" ht="46.25" hidden="false" customHeight="false" outlineLevel="0" collapsed="false">
      <c r="A226" s="7" t="s">
        <v>2250</v>
      </c>
      <c r="B226" s="7" t="s">
        <v>811</v>
      </c>
      <c r="C226" s="7" t="s">
        <v>985</v>
      </c>
      <c r="D226" s="7" t="s">
        <v>98</v>
      </c>
      <c r="E226" s="7" t="s">
        <v>2251</v>
      </c>
      <c r="F226" s="7" t="s">
        <v>257</v>
      </c>
      <c r="G226" s="7" t="s">
        <v>101</v>
      </c>
      <c r="H226" s="7" t="s">
        <v>459</v>
      </c>
      <c r="I226" s="7" t="s">
        <v>2252</v>
      </c>
      <c r="J226" s="7" t="s">
        <v>2253</v>
      </c>
      <c r="K226" s="7" t="s">
        <v>85</v>
      </c>
      <c r="L226" s="7" t="s">
        <v>2254</v>
      </c>
      <c r="M226" s="7" t="s">
        <v>2255</v>
      </c>
      <c r="N226" s="7" t="s">
        <v>2256</v>
      </c>
      <c r="O226" s="7" t="s">
        <v>2257</v>
      </c>
      <c r="P226" s="7" t="s">
        <v>106</v>
      </c>
      <c r="Q226" s="7" t="s">
        <v>2258</v>
      </c>
      <c r="R226" s="7" t="s">
        <v>2259</v>
      </c>
      <c r="S226" s="7"/>
      <c r="T226" s="7" t="s">
        <v>109</v>
      </c>
      <c r="U226" s="7" t="s">
        <v>2260</v>
      </c>
      <c r="V226" s="8" t="s">
        <v>2261</v>
      </c>
      <c r="W226" s="7"/>
      <c r="X226" s="7"/>
      <c r="Y226" s="7"/>
      <c r="Z226" s="7"/>
      <c r="AA226" s="7"/>
      <c r="AB226" s="7"/>
      <c r="AC226" s="8" t="s">
        <v>2261</v>
      </c>
      <c r="AD226" s="7"/>
      <c r="AE226" s="7" t="s">
        <v>2262</v>
      </c>
      <c r="AF226" s="7"/>
      <c r="AG226" s="7" t="s">
        <v>2263</v>
      </c>
    </row>
    <row r="227" customFormat="false" ht="57.45" hidden="false" customHeight="false" outlineLevel="0" collapsed="false">
      <c r="A227" s="7" t="s">
        <v>2264</v>
      </c>
      <c r="B227" s="7" t="s">
        <v>116</v>
      </c>
      <c r="C227" s="7" t="s">
        <v>985</v>
      </c>
      <c r="D227" s="7" t="s">
        <v>78</v>
      </c>
      <c r="E227" s="7" t="s">
        <v>2265</v>
      </c>
      <c r="F227" s="7" t="s">
        <v>80</v>
      </c>
      <c r="G227" s="7" t="s">
        <v>101</v>
      </c>
      <c r="H227" s="7" t="s">
        <v>459</v>
      </c>
      <c r="I227" s="7" t="s">
        <v>2266</v>
      </c>
      <c r="J227" s="7" t="s">
        <v>2267</v>
      </c>
      <c r="K227" s="7" t="s">
        <v>85</v>
      </c>
      <c r="L227" s="7" t="s">
        <v>105</v>
      </c>
      <c r="M227" s="7" t="s">
        <v>87</v>
      </c>
      <c r="N227" s="7"/>
      <c r="O227" s="7"/>
      <c r="P227" s="7" t="s">
        <v>88</v>
      </c>
      <c r="Q227" s="7" t="s">
        <v>988</v>
      </c>
      <c r="R227" s="7" t="s">
        <v>2268</v>
      </c>
      <c r="S227" s="7" t="s">
        <v>2269</v>
      </c>
      <c r="T227" s="7" t="s">
        <v>92</v>
      </c>
      <c r="U227" s="7"/>
      <c r="V227" s="7"/>
      <c r="W227" s="7"/>
      <c r="X227" s="7"/>
      <c r="Y227" s="7"/>
      <c r="Z227" s="7"/>
      <c r="AA227" s="7"/>
      <c r="AB227" s="7"/>
      <c r="AC227" s="8" t="s">
        <v>2270</v>
      </c>
      <c r="AD227" s="7" t="s">
        <v>1575</v>
      </c>
      <c r="AE227" s="7" t="s">
        <v>2271</v>
      </c>
      <c r="AF227" s="7"/>
      <c r="AG227" s="7" t="s">
        <v>2272</v>
      </c>
    </row>
    <row r="228" customFormat="false" ht="57.45" hidden="false" customHeight="false" outlineLevel="0" collapsed="false">
      <c r="A228" s="7" t="s">
        <v>801</v>
      </c>
      <c r="B228" s="7" t="s">
        <v>116</v>
      </c>
      <c r="C228" s="7" t="s">
        <v>141</v>
      </c>
      <c r="D228" s="7" t="s">
        <v>98</v>
      </c>
      <c r="E228" s="7" t="s">
        <v>802</v>
      </c>
      <c r="F228" s="7" t="s">
        <v>80</v>
      </c>
      <c r="G228" s="7" t="s">
        <v>101</v>
      </c>
      <c r="H228" s="7" t="s">
        <v>589</v>
      </c>
      <c r="I228" s="7" t="s">
        <v>803</v>
      </c>
      <c r="J228" s="7" t="s">
        <v>804</v>
      </c>
      <c r="K228" s="7" t="s">
        <v>85</v>
      </c>
      <c r="L228" s="7" t="s">
        <v>105</v>
      </c>
      <c r="M228" s="7" t="s">
        <v>87</v>
      </c>
      <c r="N228" s="7"/>
      <c r="O228" s="7"/>
      <c r="P228" s="7" t="s">
        <v>106</v>
      </c>
      <c r="Q228" s="7" t="s">
        <v>144</v>
      </c>
      <c r="R228" s="7" t="s">
        <v>805</v>
      </c>
      <c r="S228" s="7"/>
      <c r="T228" s="7" t="s">
        <v>92</v>
      </c>
      <c r="U228" s="7"/>
      <c r="V228" s="7"/>
      <c r="W228" s="7"/>
      <c r="X228" s="7"/>
      <c r="Y228" s="7"/>
      <c r="Z228" s="7"/>
      <c r="AA228" s="7"/>
      <c r="AB228" s="7"/>
      <c r="AC228" s="8" t="s">
        <v>806</v>
      </c>
      <c r="AD228" s="7" t="s">
        <v>807</v>
      </c>
      <c r="AE228" s="7" t="s">
        <v>808</v>
      </c>
      <c r="AF228" s="7"/>
      <c r="AG228" s="7" t="s">
        <v>809</v>
      </c>
    </row>
    <row r="229" customFormat="false" ht="35.05" hidden="false" customHeight="false" outlineLevel="0" collapsed="false">
      <c r="A229" s="7" t="s">
        <v>2273</v>
      </c>
      <c r="B229" s="7" t="s">
        <v>116</v>
      </c>
      <c r="C229" s="7" t="s">
        <v>985</v>
      </c>
      <c r="D229" s="7" t="s">
        <v>98</v>
      </c>
      <c r="E229" s="7" t="s">
        <v>2274</v>
      </c>
      <c r="F229" s="7" t="s">
        <v>100</v>
      </c>
      <c r="G229" s="7" t="s">
        <v>101</v>
      </c>
      <c r="H229" s="7" t="s">
        <v>589</v>
      </c>
      <c r="I229" s="7" t="s">
        <v>2275</v>
      </c>
      <c r="J229" s="7" t="s">
        <v>2276</v>
      </c>
      <c r="K229" s="7" t="s">
        <v>85</v>
      </c>
      <c r="L229" s="7" t="s">
        <v>105</v>
      </c>
      <c r="M229" s="7" t="s">
        <v>87</v>
      </c>
      <c r="N229" s="7"/>
      <c r="O229" s="7"/>
      <c r="P229" s="7" t="s">
        <v>106</v>
      </c>
      <c r="Q229" s="7" t="s">
        <v>2277</v>
      </c>
      <c r="R229" s="7" t="s">
        <v>2278</v>
      </c>
      <c r="S229" s="7" t="s">
        <v>2279</v>
      </c>
      <c r="T229" s="7" t="s">
        <v>109</v>
      </c>
      <c r="U229" s="7" t="s">
        <v>2280</v>
      </c>
      <c r="V229" s="8" t="s">
        <v>2281</v>
      </c>
      <c r="W229" s="7"/>
      <c r="X229" s="7"/>
      <c r="Y229" s="7"/>
      <c r="Z229" s="7"/>
      <c r="AA229" s="7"/>
      <c r="AB229" s="7"/>
      <c r="AC229" s="8" t="s">
        <v>2281</v>
      </c>
      <c r="AD229" s="7"/>
      <c r="AE229" s="7"/>
      <c r="AF229" s="7"/>
      <c r="AG229" s="7" t="s">
        <v>767</v>
      </c>
    </row>
    <row r="230" customFormat="false" ht="35.05" hidden="false" customHeight="false" outlineLevel="0" collapsed="false">
      <c r="A230" s="7" t="s">
        <v>2282</v>
      </c>
      <c r="B230" s="7" t="s">
        <v>116</v>
      </c>
      <c r="C230" s="7" t="s">
        <v>985</v>
      </c>
      <c r="D230" s="7" t="s">
        <v>98</v>
      </c>
      <c r="E230" s="7" t="s">
        <v>2283</v>
      </c>
      <c r="F230" s="7" t="s">
        <v>80</v>
      </c>
      <c r="G230" s="7" t="s">
        <v>101</v>
      </c>
      <c r="H230" s="7" t="s">
        <v>589</v>
      </c>
      <c r="I230" s="7" t="s">
        <v>2284</v>
      </c>
      <c r="J230" s="7"/>
      <c r="K230" s="7" t="s">
        <v>85</v>
      </c>
      <c r="L230" s="7" t="s">
        <v>105</v>
      </c>
      <c r="M230" s="7" t="s">
        <v>87</v>
      </c>
      <c r="N230" s="7"/>
      <c r="O230" s="7"/>
      <c r="P230" s="7" t="s">
        <v>106</v>
      </c>
      <c r="Q230" s="7" t="s">
        <v>988</v>
      </c>
      <c r="R230" s="7" t="s">
        <v>2285</v>
      </c>
      <c r="S230" s="7"/>
      <c r="T230" s="7" t="s">
        <v>109</v>
      </c>
      <c r="U230" s="7" t="s">
        <v>2286</v>
      </c>
      <c r="V230" s="8" t="s">
        <v>2287</v>
      </c>
      <c r="W230" s="7"/>
      <c r="X230" s="7"/>
      <c r="Y230" s="7"/>
      <c r="Z230" s="7"/>
      <c r="AA230" s="7"/>
      <c r="AB230" s="7"/>
      <c r="AC230" s="8" t="s">
        <v>2287</v>
      </c>
      <c r="AD230" s="7" t="s">
        <v>177</v>
      </c>
      <c r="AE230" s="7"/>
      <c r="AF230" s="7"/>
      <c r="AG230" s="7"/>
    </row>
    <row r="231" customFormat="false" ht="35.05" hidden="false" customHeight="false" outlineLevel="0" collapsed="false">
      <c r="A231" s="7" t="s">
        <v>2288</v>
      </c>
      <c r="B231" s="7" t="s">
        <v>116</v>
      </c>
      <c r="C231" s="7" t="s">
        <v>985</v>
      </c>
      <c r="D231" s="7" t="s">
        <v>98</v>
      </c>
      <c r="E231" s="7" t="s">
        <v>2289</v>
      </c>
      <c r="F231" s="7" t="s">
        <v>80</v>
      </c>
      <c r="G231" s="7" t="s">
        <v>101</v>
      </c>
      <c r="H231" s="7" t="s">
        <v>589</v>
      </c>
      <c r="I231" s="7" t="s">
        <v>2290</v>
      </c>
      <c r="J231" s="7"/>
      <c r="K231" s="7" t="s">
        <v>85</v>
      </c>
      <c r="L231" s="7" t="s">
        <v>105</v>
      </c>
      <c r="M231" s="7" t="s">
        <v>87</v>
      </c>
      <c r="N231" s="7"/>
      <c r="O231" s="7"/>
      <c r="P231" s="7" t="s">
        <v>106</v>
      </c>
      <c r="Q231" s="7" t="s">
        <v>988</v>
      </c>
      <c r="R231" s="7" t="s">
        <v>2291</v>
      </c>
      <c r="S231" s="7"/>
      <c r="T231" s="7" t="s">
        <v>92</v>
      </c>
      <c r="U231" s="7"/>
      <c r="V231" s="7"/>
      <c r="W231" s="7"/>
      <c r="X231" s="7"/>
      <c r="Y231" s="7"/>
      <c r="Z231" s="7"/>
      <c r="AA231" s="7"/>
      <c r="AB231" s="7"/>
      <c r="AC231" s="8" t="s">
        <v>2292</v>
      </c>
      <c r="AD231" s="7" t="s">
        <v>177</v>
      </c>
      <c r="AE231" s="7"/>
      <c r="AF231" s="7"/>
      <c r="AG231" s="7" t="s">
        <v>2293</v>
      </c>
    </row>
    <row r="232" customFormat="false" ht="68.65" hidden="false" customHeight="false" outlineLevel="0" collapsed="false">
      <c r="A232" s="7" t="s">
        <v>2294</v>
      </c>
      <c r="B232" s="7" t="s">
        <v>116</v>
      </c>
      <c r="C232" s="7" t="s">
        <v>985</v>
      </c>
      <c r="D232" s="7" t="s">
        <v>98</v>
      </c>
      <c r="E232" s="7" t="s">
        <v>2295</v>
      </c>
      <c r="F232" s="7" t="s">
        <v>257</v>
      </c>
      <c r="G232" s="7" t="s">
        <v>101</v>
      </c>
      <c r="H232" s="7" t="s">
        <v>589</v>
      </c>
      <c r="I232" s="7" t="s">
        <v>2290</v>
      </c>
      <c r="J232" s="7"/>
      <c r="K232" s="7" t="s">
        <v>85</v>
      </c>
      <c r="L232" s="7" t="s">
        <v>105</v>
      </c>
      <c r="M232" s="7" t="s">
        <v>87</v>
      </c>
      <c r="N232" s="7"/>
      <c r="O232" s="7"/>
      <c r="P232" s="7" t="s">
        <v>106</v>
      </c>
      <c r="Q232" s="7" t="s">
        <v>988</v>
      </c>
      <c r="R232" s="7" t="s">
        <v>2296</v>
      </c>
      <c r="S232" s="7"/>
      <c r="T232" s="7" t="s">
        <v>92</v>
      </c>
      <c r="U232" s="7"/>
      <c r="V232" s="7"/>
      <c r="W232" s="7"/>
      <c r="X232" s="7"/>
      <c r="Y232" s="7"/>
      <c r="Z232" s="7"/>
      <c r="AA232" s="7"/>
      <c r="AB232" s="7"/>
      <c r="AC232" s="8" t="s">
        <v>2297</v>
      </c>
      <c r="AD232" s="7" t="s">
        <v>2298</v>
      </c>
      <c r="AE232" s="7" t="s">
        <v>2299</v>
      </c>
      <c r="AF232" s="7"/>
      <c r="AG232" s="7" t="s">
        <v>2300</v>
      </c>
    </row>
    <row r="233" customFormat="false" ht="23.85" hidden="false" customHeight="false" outlineLevel="0" collapsed="false">
      <c r="A233" s="7" t="s">
        <v>2301</v>
      </c>
      <c r="B233" s="7" t="s">
        <v>116</v>
      </c>
      <c r="C233" s="7" t="s">
        <v>985</v>
      </c>
      <c r="D233" s="7" t="s">
        <v>98</v>
      </c>
      <c r="E233" s="7" t="s">
        <v>2302</v>
      </c>
      <c r="F233" s="7" t="s">
        <v>80</v>
      </c>
      <c r="G233" s="7" t="s">
        <v>101</v>
      </c>
      <c r="H233" s="7" t="s">
        <v>589</v>
      </c>
      <c r="I233" s="7" t="s">
        <v>2290</v>
      </c>
      <c r="J233" s="7" t="s">
        <v>2303</v>
      </c>
      <c r="K233" s="7" t="s">
        <v>85</v>
      </c>
      <c r="L233" s="7" t="s">
        <v>105</v>
      </c>
      <c r="M233" s="7" t="s">
        <v>87</v>
      </c>
      <c r="N233" s="7"/>
      <c r="O233" s="7"/>
      <c r="P233" s="7" t="s">
        <v>106</v>
      </c>
      <c r="Q233" s="7" t="s">
        <v>988</v>
      </c>
      <c r="R233" s="7" t="s">
        <v>2304</v>
      </c>
      <c r="S233" s="7"/>
      <c r="T233" s="7" t="s">
        <v>92</v>
      </c>
      <c r="U233" s="7"/>
      <c r="V233" s="7"/>
      <c r="W233" s="7"/>
      <c r="X233" s="7"/>
      <c r="Y233" s="7"/>
      <c r="Z233" s="7"/>
      <c r="AA233" s="7"/>
      <c r="AB233" s="7"/>
      <c r="AC233" s="8" t="s">
        <v>2305</v>
      </c>
      <c r="AD233" s="7"/>
      <c r="AE233" s="7"/>
      <c r="AF233" s="7"/>
      <c r="AG233" s="7" t="s">
        <v>2306</v>
      </c>
    </row>
    <row r="234" customFormat="false" ht="35.05" hidden="false" customHeight="false" outlineLevel="0" collapsed="false">
      <c r="A234" s="7" t="s">
        <v>2307</v>
      </c>
      <c r="B234" s="7" t="s">
        <v>116</v>
      </c>
      <c r="C234" s="7" t="s">
        <v>985</v>
      </c>
      <c r="D234" s="7" t="s">
        <v>78</v>
      </c>
      <c r="E234" s="7" t="s">
        <v>2308</v>
      </c>
      <c r="F234" s="7" t="s">
        <v>80</v>
      </c>
      <c r="G234" s="7" t="s">
        <v>101</v>
      </c>
      <c r="H234" s="7" t="s">
        <v>589</v>
      </c>
      <c r="I234" s="7" t="s">
        <v>2290</v>
      </c>
      <c r="J234" s="7"/>
      <c r="K234" s="7" t="s">
        <v>85</v>
      </c>
      <c r="L234" s="7" t="s">
        <v>105</v>
      </c>
      <c r="M234" s="7" t="s">
        <v>87</v>
      </c>
      <c r="N234" s="7" t="s">
        <v>2309</v>
      </c>
      <c r="O234" s="7"/>
      <c r="P234" s="7" t="s">
        <v>88</v>
      </c>
      <c r="Q234" s="7" t="s">
        <v>988</v>
      </c>
      <c r="R234" s="7" t="s">
        <v>2310</v>
      </c>
      <c r="S234" s="7"/>
      <c r="T234" s="7" t="s">
        <v>109</v>
      </c>
      <c r="U234" s="7" t="s">
        <v>2311</v>
      </c>
      <c r="V234" s="8" t="s">
        <v>2312</v>
      </c>
      <c r="W234" s="7"/>
      <c r="X234" s="7"/>
      <c r="Y234" s="7"/>
      <c r="Z234" s="7"/>
      <c r="AA234" s="7"/>
      <c r="AB234" s="7"/>
      <c r="AC234" s="8" t="s">
        <v>2297</v>
      </c>
      <c r="AD234" s="7"/>
      <c r="AE234" s="7"/>
      <c r="AF234" s="7"/>
      <c r="AG234" s="7" t="s">
        <v>2313</v>
      </c>
    </row>
    <row r="235" customFormat="false" ht="57.45" hidden="false" customHeight="false" outlineLevel="0" collapsed="false">
      <c r="A235" s="7" t="s">
        <v>587</v>
      </c>
      <c r="B235" s="7" t="s">
        <v>76</v>
      </c>
      <c r="C235" s="7" t="s">
        <v>141</v>
      </c>
      <c r="D235" s="7" t="s">
        <v>98</v>
      </c>
      <c r="E235" s="7" t="s">
        <v>588</v>
      </c>
      <c r="F235" s="7" t="s">
        <v>379</v>
      </c>
      <c r="G235" s="7" t="s">
        <v>101</v>
      </c>
      <c r="H235" s="7" t="s">
        <v>589</v>
      </c>
      <c r="I235" s="7" t="s">
        <v>590</v>
      </c>
      <c r="J235" s="7" t="s">
        <v>591</v>
      </c>
      <c r="K235" s="7" t="s">
        <v>85</v>
      </c>
      <c r="L235" s="7" t="s">
        <v>105</v>
      </c>
      <c r="M235" s="7" t="s">
        <v>87</v>
      </c>
      <c r="N235" s="7"/>
      <c r="O235" s="7"/>
      <c r="P235" s="7" t="s">
        <v>592</v>
      </c>
      <c r="Q235" s="7" t="s">
        <v>144</v>
      </c>
      <c r="R235" s="7" t="s">
        <v>593</v>
      </c>
      <c r="S235" s="7"/>
      <c r="T235" s="7" t="s">
        <v>92</v>
      </c>
      <c r="U235" s="7"/>
      <c r="V235" s="7"/>
      <c r="W235" s="7"/>
      <c r="X235" s="7"/>
      <c r="Y235" s="7"/>
      <c r="Z235" s="7"/>
      <c r="AA235" s="7"/>
      <c r="AB235" s="7" t="s">
        <v>594</v>
      </c>
      <c r="AC235" s="8" t="s">
        <v>595</v>
      </c>
      <c r="AD235" s="7"/>
      <c r="AE235" s="7" t="s">
        <v>596</v>
      </c>
      <c r="AF235" s="7"/>
      <c r="AG235" s="7" t="s">
        <v>597</v>
      </c>
    </row>
    <row r="236" customFormat="false" ht="46.25" hidden="false" customHeight="false" outlineLevel="0" collapsed="false">
      <c r="A236" s="7" t="s">
        <v>2314</v>
      </c>
      <c r="B236" s="7" t="s">
        <v>76</v>
      </c>
      <c r="C236" s="7" t="s">
        <v>985</v>
      </c>
      <c r="D236" s="7" t="s">
        <v>78</v>
      </c>
      <c r="E236" s="7" t="s">
        <v>2315</v>
      </c>
      <c r="F236" s="7" t="s">
        <v>80</v>
      </c>
      <c r="G236" s="7" t="s">
        <v>101</v>
      </c>
      <c r="H236" s="7" t="s">
        <v>589</v>
      </c>
      <c r="I236" s="7" t="s">
        <v>590</v>
      </c>
      <c r="J236" s="7" t="s">
        <v>2316</v>
      </c>
      <c r="K236" s="7" t="s">
        <v>85</v>
      </c>
      <c r="L236" s="7" t="s">
        <v>2317</v>
      </c>
      <c r="M236" s="7" t="s">
        <v>87</v>
      </c>
      <c r="N236" s="7" t="s">
        <v>2318</v>
      </c>
      <c r="O236" s="7" t="s">
        <v>2319</v>
      </c>
      <c r="P236" s="7" t="s">
        <v>2320</v>
      </c>
      <c r="Q236" s="7" t="s">
        <v>2321</v>
      </c>
      <c r="R236" s="7" t="s">
        <v>2322</v>
      </c>
      <c r="S236" s="7" t="s">
        <v>2323</v>
      </c>
      <c r="T236" s="7" t="s">
        <v>109</v>
      </c>
      <c r="U236" s="7" t="s">
        <v>2324</v>
      </c>
      <c r="V236" s="8" t="s">
        <v>2325</v>
      </c>
      <c r="W236" s="7"/>
      <c r="X236" s="7"/>
      <c r="Y236" s="7"/>
      <c r="Z236" s="7"/>
      <c r="AA236" s="8" t="s">
        <v>2326</v>
      </c>
      <c r="AB236" s="7"/>
      <c r="AC236" s="8" t="s">
        <v>2327</v>
      </c>
      <c r="AD236" s="7"/>
      <c r="AE236" s="7" t="s">
        <v>2328</v>
      </c>
      <c r="AF236" s="7" t="s">
        <v>2329</v>
      </c>
      <c r="AG236" s="7" t="s">
        <v>2330</v>
      </c>
    </row>
    <row r="237" customFormat="false" ht="35.05" hidden="false" customHeight="false" outlineLevel="0" collapsed="false">
      <c r="A237" s="7" t="s">
        <v>2331</v>
      </c>
      <c r="B237" s="7" t="s">
        <v>811</v>
      </c>
      <c r="C237" s="7" t="s">
        <v>985</v>
      </c>
      <c r="D237" s="7" t="s">
        <v>98</v>
      </c>
      <c r="E237" s="7" t="s">
        <v>2332</v>
      </c>
      <c r="F237" s="7" t="s">
        <v>80</v>
      </c>
      <c r="G237" s="7" t="s">
        <v>101</v>
      </c>
      <c r="H237" s="7" t="s">
        <v>2333</v>
      </c>
      <c r="I237" s="7" t="s">
        <v>2333</v>
      </c>
      <c r="J237" s="7" t="s">
        <v>2334</v>
      </c>
      <c r="K237" s="7" t="s">
        <v>85</v>
      </c>
      <c r="L237" s="7" t="s">
        <v>105</v>
      </c>
      <c r="M237" s="7" t="s">
        <v>87</v>
      </c>
      <c r="N237" s="7"/>
      <c r="O237" s="7"/>
      <c r="P237" s="7" t="s">
        <v>106</v>
      </c>
      <c r="Q237" s="7" t="s">
        <v>988</v>
      </c>
      <c r="R237" s="7" t="s">
        <v>2335</v>
      </c>
      <c r="S237" s="7"/>
      <c r="T237" s="7" t="s">
        <v>92</v>
      </c>
      <c r="U237" s="7"/>
      <c r="V237" s="7"/>
      <c r="W237" s="7"/>
      <c r="X237" s="7"/>
      <c r="Y237" s="7"/>
      <c r="Z237" s="7"/>
      <c r="AA237" s="7"/>
      <c r="AB237" s="7"/>
      <c r="AC237" s="8" t="s">
        <v>2336</v>
      </c>
      <c r="AD237" s="7" t="s">
        <v>177</v>
      </c>
      <c r="AE237" s="7"/>
      <c r="AF237" s="7"/>
      <c r="AG237" s="7" t="s">
        <v>270</v>
      </c>
    </row>
    <row r="238" customFormat="false" ht="46.25" hidden="false" customHeight="false" outlineLevel="0" collapsed="false">
      <c r="A238" s="7" t="s">
        <v>2337</v>
      </c>
      <c r="B238" s="7" t="s">
        <v>811</v>
      </c>
      <c r="C238" s="7" t="s">
        <v>985</v>
      </c>
      <c r="D238" s="7" t="s">
        <v>98</v>
      </c>
      <c r="E238" s="7" t="s">
        <v>2338</v>
      </c>
      <c r="F238" s="7" t="s">
        <v>257</v>
      </c>
      <c r="G238" s="7" t="s">
        <v>101</v>
      </c>
      <c r="H238" s="7" t="s">
        <v>2333</v>
      </c>
      <c r="I238" s="7" t="s">
        <v>2333</v>
      </c>
      <c r="J238" s="7" t="s">
        <v>2334</v>
      </c>
      <c r="K238" s="7" t="s">
        <v>85</v>
      </c>
      <c r="L238" s="7" t="s">
        <v>2339</v>
      </c>
      <c r="M238" s="7" t="s">
        <v>87</v>
      </c>
      <c r="N238" s="7"/>
      <c r="O238" s="7"/>
      <c r="P238" s="7" t="s">
        <v>106</v>
      </c>
      <c r="Q238" s="7" t="s">
        <v>988</v>
      </c>
      <c r="R238" s="7" t="s">
        <v>2340</v>
      </c>
      <c r="S238" s="7" t="s">
        <v>756</v>
      </c>
      <c r="T238" s="7" t="s">
        <v>92</v>
      </c>
      <c r="U238" s="7"/>
      <c r="V238" s="7"/>
      <c r="W238" s="7"/>
      <c r="X238" s="7"/>
      <c r="Y238" s="7"/>
      <c r="Z238" s="7"/>
      <c r="AA238" s="7"/>
      <c r="AB238" s="7"/>
      <c r="AC238" s="8" t="s">
        <v>2341</v>
      </c>
      <c r="AD238" s="7" t="s">
        <v>2342</v>
      </c>
      <c r="AE238" s="7"/>
      <c r="AF238" s="7"/>
      <c r="AG238" s="7" t="s">
        <v>2343</v>
      </c>
    </row>
    <row r="239" customFormat="false" ht="35.05" hidden="false" customHeight="false" outlineLevel="0" collapsed="false">
      <c r="A239" s="7" t="s">
        <v>2344</v>
      </c>
      <c r="B239" s="7" t="s">
        <v>811</v>
      </c>
      <c r="C239" s="7" t="s">
        <v>985</v>
      </c>
      <c r="D239" s="7" t="s">
        <v>98</v>
      </c>
      <c r="E239" s="7" t="s">
        <v>2345</v>
      </c>
      <c r="F239" s="7" t="s">
        <v>257</v>
      </c>
      <c r="G239" s="7" t="s">
        <v>101</v>
      </c>
      <c r="H239" s="7" t="s">
        <v>2333</v>
      </c>
      <c r="I239" s="7" t="s">
        <v>2333</v>
      </c>
      <c r="J239" s="7" t="s">
        <v>2346</v>
      </c>
      <c r="K239" s="7" t="s">
        <v>85</v>
      </c>
      <c r="L239" s="7" t="s">
        <v>2347</v>
      </c>
      <c r="M239" s="7" t="s">
        <v>87</v>
      </c>
      <c r="N239" s="7"/>
      <c r="O239" s="7"/>
      <c r="P239" s="7" t="s">
        <v>106</v>
      </c>
      <c r="Q239" s="7" t="s">
        <v>988</v>
      </c>
      <c r="R239" s="7" t="s">
        <v>2348</v>
      </c>
      <c r="S239" s="7"/>
      <c r="T239" s="7" t="s">
        <v>1014</v>
      </c>
      <c r="U239" s="7"/>
      <c r="V239" s="7"/>
      <c r="W239" s="7"/>
      <c r="X239" s="7"/>
      <c r="Y239" s="7" t="s">
        <v>2349</v>
      </c>
      <c r="Z239" s="7"/>
      <c r="AA239" s="7"/>
      <c r="AB239" s="7"/>
      <c r="AC239" s="8" t="s">
        <v>2336</v>
      </c>
      <c r="AD239" s="7"/>
      <c r="AE239" s="7"/>
      <c r="AF239" s="7"/>
      <c r="AG239" s="7" t="s">
        <v>2350</v>
      </c>
    </row>
    <row r="240" customFormat="false" ht="46.25" hidden="false" customHeight="false" outlineLevel="0" collapsed="false">
      <c r="A240" s="7" t="s">
        <v>2351</v>
      </c>
      <c r="B240" s="7" t="s">
        <v>811</v>
      </c>
      <c r="C240" s="7" t="s">
        <v>985</v>
      </c>
      <c r="D240" s="7" t="s">
        <v>78</v>
      </c>
      <c r="E240" s="7" t="s">
        <v>2352</v>
      </c>
      <c r="F240" s="7" t="s">
        <v>80</v>
      </c>
      <c r="G240" s="7" t="s">
        <v>101</v>
      </c>
      <c r="H240" s="7" t="s">
        <v>2333</v>
      </c>
      <c r="I240" s="7" t="s">
        <v>2333</v>
      </c>
      <c r="J240" s="7" t="s">
        <v>2353</v>
      </c>
      <c r="K240" s="7" t="s">
        <v>85</v>
      </c>
      <c r="L240" s="7" t="s">
        <v>2354</v>
      </c>
      <c r="M240" s="7" t="s">
        <v>87</v>
      </c>
      <c r="N240" s="7"/>
      <c r="O240" s="7"/>
      <c r="P240" s="7" t="s">
        <v>2355</v>
      </c>
      <c r="Q240" s="7" t="s">
        <v>988</v>
      </c>
      <c r="R240" s="7" t="s">
        <v>2356</v>
      </c>
      <c r="S240" s="7"/>
      <c r="T240" s="7" t="s">
        <v>92</v>
      </c>
      <c r="U240" s="7"/>
      <c r="V240" s="7"/>
      <c r="W240" s="7"/>
      <c r="X240" s="7"/>
      <c r="Y240" s="7"/>
      <c r="Z240" s="7"/>
      <c r="AA240" s="7"/>
      <c r="AB240" s="7"/>
      <c r="AC240" s="8" t="s">
        <v>2336</v>
      </c>
      <c r="AD240" s="7" t="s">
        <v>2357</v>
      </c>
      <c r="AE240" s="7"/>
      <c r="AF240" s="7"/>
      <c r="AG240" s="7" t="s">
        <v>96</v>
      </c>
    </row>
    <row r="241" customFormat="false" ht="46.25" hidden="false" customHeight="false" outlineLevel="0" collapsed="false">
      <c r="A241" s="7" t="s">
        <v>2358</v>
      </c>
      <c r="B241" s="7" t="s">
        <v>116</v>
      </c>
      <c r="C241" s="7" t="s">
        <v>985</v>
      </c>
      <c r="D241" s="7" t="s">
        <v>98</v>
      </c>
      <c r="E241" s="7" t="s">
        <v>2359</v>
      </c>
      <c r="F241" s="7" t="s">
        <v>257</v>
      </c>
      <c r="G241" s="7" t="s">
        <v>101</v>
      </c>
      <c r="H241" s="7" t="s">
        <v>2360</v>
      </c>
      <c r="I241" s="7" t="s">
        <v>2361</v>
      </c>
      <c r="J241" s="7"/>
      <c r="K241" s="7" t="s">
        <v>85</v>
      </c>
      <c r="L241" s="7" t="s">
        <v>105</v>
      </c>
      <c r="M241" s="7" t="s">
        <v>87</v>
      </c>
      <c r="N241" s="7"/>
      <c r="O241" s="7"/>
      <c r="P241" s="7" t="s">
        <v>106</v>
      </c>
      <c r="Q241" s="7" t="s">
        <v>988</v>
      </c>
      <c r="R241" s="7" t="s">
        <v>2362</v>
      </c>
      <c r="S241" s="7" t="s">
        <v>2363</v>
      </c>
      <c r="T241" s="7" t="s">
        <v>92</v>
      </c>
      <c r="U241" s="7"/>
      <c r="V241" s="7"/>
      <c r="W241" s="7"/>
      <c r="X241" s="7"/>
      <c r="Y241" s="7"/>
      <c r="Z241" s="7"/>
      <c r="AA241" s="7"/>
      <c r="AB241" s="7"/>
      <c r="AC241" s="8" t="s">
        <v>2364</v>
      </c>
      <c r="AD241" s="7"/>
      <c r="AE241" s="7" t="s">
        <v>2365</v>
      </c>
      <c r="AF241" s="7"/>
      <c r="AG241" s="7" t="s">
        <v>2366</v>
      </c>
    </row>
    <row r="242" customFormat="false" ht="35.05" hidden="false" customHeight="false" outlineLevel="0" collapsed="false">
      <c r="A242" s="7" t="s">
        <v>2367</v>
      </c>
      <c r="B242" s="7" t="s">
        <v>116</v>
      </c>
      <c r="C242" s="7" t="s">
        <v>985</v>
      </c>
      <c r="D242" s="7" t="s">
        <v>78</v>
      </c>
      <c r="E242" s="7" t="s">
        <v>2368</v>
      </c>
      <c r="F242" s="7" t="s">
        <v>80</v>
      </c>
      <c r="G242" s="7" t="s">
        <v>101</v>
      </c>
      <c r="H242" s="7" t="s">
        <v>2360</v>
      </c>
      <c r="I242" s="7" t="s">
        <v>2369</v>
      </c>
      <c r="J242" s="7" t="s">
        <v>2370</v>
      </c>
      <c r="K242" s="7" t="s">
        <v>85</v>
      </c>
      <c r="L242" s="7" t="s">
        <v>105</v>
      </c>
      <c r="M242" s="7" t="s">
        <v>87</v>
      </c>
      <c r="N242" s="7"/>
      <c r="O242" s="7"/>
      <c r="P242" s="7" t="s">
        <v>88</v>
      </c>
      <c r="Q242" s="7" t="s">
        <v>988</v>
      </c>
      <c r="R242" s="7" t="s">
        <v>2371</v>
      </c>
      <c r="S242" s="7" t="s">
        <v>2372</v>
      </c>
      <c r="T242" s="7" t="s">
        <v>92</v>
      </c>
      <c r="U242" s="7"/>
      <c r="V242" s="7"/>
      <c r="W242" s="7"/>
      <c r="X242" s="7"/>
      <c r="Y242" s="7"/>
      <c r="Z242" s="7"/>
      <c r="AA242" s="7"/>
      <c r="AB242" s="7"/>
      <c r="AC242" s="8" t="s">
        <v>2373</v>
      </c>
      <c r="AD242" s="7" t="s">
        <v>177</v>
      </c>
      <c r="AE242" s="7" t="s">
        <v>2374</v>
      </c>
      <c r="AF242" s="7"/>
      <c r="AG242" s="7" t="s">
        <v>2375</v>
      </c>
    </row>
    <row r="243" customFormat="false" ht="57.45" hidden="false" customHeight="false" outlineLevel="0" collapsed="false">
      <c r="A243" s="7" t="s">
        <v>2376</v>
      </c>
      <c r="B243" s="7" t="s">
        <v>116</v>
      </c>
      <c r="C243" s="7" t="s">
        <v>985</v>
      </c>
      <c r="D243" s="7" t="s">
        <v>98</v>
      </c>
      <c r="E243" s="7" t="s">
        <v>2377</v>
      </c>
      <c r="F243" s="7" t="s">
        <v>80</v>
      </c>
      <c r="G243" s="7" t="s">
        <v>101</v>
      </c>
      <c r="H243" s="7" t="s">
        <v>2360</v>
      </c>
      <c r="I243" s="7" t="s">
        <v>2378</v>
      </c>
      <c r="J243" s="7" t="s">
        <v>2379</v>
      </c>
      <c r="K243" s="7" t="s">
        <v>85</v>
      </c>
      <c r="L243" s="7" t="s">
        <v>2380</v>
      </c>
      <c r="M243" s="7" t="s">
        <v>87</v>
      </c>
      <c r="N243" s="7"/>
      <c r="O243" s="7"/>
      <c r="P243" s="7" t="s">
        <v>106</v>
      </c>
      <c r="Q243" s="7" t="s">
        <v>2381</v>
      </c>
      <c r="R243" s="7" t="s">
        <v>2382</v>
      </c>
      <c r="S243" s="7" t="s">
        <v>756</v>
      </c>
      <c r="T243" s="7" t="s">
        <v>92</v>
      </c>
      <c r="U243" s="7"/>
      <c r="V243" s="7"/>
      <c r="W243" s="7"/>
      <c r="X243" s="7"/>
      <c r="Y243" s="7"/>
      <c r="Z243" s="7"/>
      <c r="AA243" s="7"/>
      <c r="AB243" s="7"/>
      <c r="AC243" s="8" t="s">
        <v>2383</v>
      </c>
      <c r="AD243" s="7"/>
      <c r="AE243" s="7" t="s">
        <v>2384</v>
      </c>
      <c r="AF243" s="7"/>
      <c r="AG243" s="7" t="s">
        <v>2385</v>
      </c>
    </row>
    <row r="244" customFormat="false" ht="46.25" hidden="false" customHeight="false" outlineLevel="0" collapsed="false">
      <c r="A244" s="7" t="s">
        <v>2386</v>
      </c>
      <c r="B244" s="7" t="s">
        <v>116</v>
      </c>
      <c r="C244" s="7" t="s">
        <v>985</v>
      </c>
      <c r="D244" s="7" t="s">
        <v>98</v>
      </c>
      <c r="E244" s="7" t="s">
        <v>2387</v>
      </c>
      <c r="F244" s="7" t="s">
        <v>257</v>
      </c>
      <c r="G244" s="7" t="s">
        <v>101</v>
      </c>
      <c r="H244" s="7" t="s">
        <v>2388</v>
      </c>
      <c r="I244" s="7" t="s">
        <v>2389</v>
      </c>
      <c r="J244" s="7" t="s">
        <v>2390</v>
      </c>
      <c r="K244" s="7" t="s">
        <v>85</v>
      </c>
      <c r="L244" s="7" t="s">
        <v>2391</v>
      </c>
      <c r="M244" s="7" t="s">
        <v>87</v>
      </c>
      <c r="N244" s="7"/>
      <c r="O244" s="7"/>
      <c r="P244" s="7" t="s">
        <v>106</v>
      </c>
      <c r="Q244" s="7" t="s">
        <v>988</v>
      </c>
      <c r="R244" s="7" t="s">
        <v>2392</v>
      </c>
      <c r="S244" s="7"/>
      <c r="T244" s="7" t="s">
        <v>189</v>
      </c>
      <c r="U244" s="7"/>
      <c r="V244" s="7"/>
      <c r="W244" s="8" t="s">
        <v>2393</v>
      </c>
      <c r="X244" s="7"/>
      <c r="Y244" s="7"/>
      <c r="Z244" s="7"/>
      <c r="AA244" s="7"/>
      <c r="AB244" s="7"/>
      <c r="AC244" s="8" t="s">
        <v>2393</v>
      </c>
      <c r="AD244" s="7"/>
      <c r="AE244" s="7" t="s">
        <v>2394</v>
      </c>
      <c r="AF244" s="7" t="s">
        <v>2395</v>
      </c>
      <c r="AG244" s="7" t="s">
        <v>2396</v>
      </c>
    </row>
    <row r="245" customFormat="false" ht="35.05" hidden="false" customHeight="false" outlineLevel="0" collapsed="false">
      <c r="A245" s="7" t="s">
        <v>2397</v>
      </c>
      <c r="B245" s="7" t="s">
        <v>811</v>
      </c>
      <c r="C245" s="7" t="s">
        <v>985</v>
      </c>
      <c r="D245" s="7" t="s">
        <v>78</v>
      </c>
      <c r="E245" s="7" t="s">
        <v>2398</v>
      </c>
      <c r="F245" s="7" t="s">
        <v>118</v>
      </c>
      <c r="G245" s="7" t="s">
        <v>101</v>
      </c>
      <c r="H245" s="7" t="s">
        <v>2388</v>
      </c>
      <c r="I245" s="7" t="s">
        <v>2389</v>
      </c>
      <c r="J245" s="7" t="s">
        <v>2399</v>
      </c>
      <c r="K245" s="7" t="s">
        <v>2400</v>
      </c>
      <c r="L245" s="7" t="s">
        <v>105</v>
      </c>
      <c r="M245" s="7" t="s">
        <v>2401</v>
      </c>
      <c r="N245" s="7"/>
      <c r="O245" s="7"/>
      <c r="P245" s="7" t="s">
        <v>123</v>
      </c>
      <c r="Q245" s="7" t="s">
        <v>124</v>
      </c>
      <c r="R245" s="7" t="s">
        <v>2402</v>
      </c>
      <c r="S245" s="7"/>
      <c r="T245" s="7" t="s">
        <v>92</v>
      </c>
      <c r="U245" s="7"/>
      <c r="V245" s="7"/>
      <c r="W245" s="7"/>
      <c r="X245" s="7"/>
      <c r="Y245" s="7"/>
      <c r="Z245" s="7"/>
      <c r="AA245" s="7"/>
      <c r="AB245" s="7"/>
      <c r="AC245" s="8" t="s">
        <v>2403</v>
      </c>
      <c r="AD245" s="7" t="s">
        <v>177</v>
      </c>
      <c r="AE245" s="7" t="s">
        <v>2404</v>
      </c>
      <c r="AF245" s="7"/>
      <c r="AG245" s="7" t="s">
        <v>2405</v>
      </c>
    </row>
    <row r="246" customFormat="false" ht="35.05" hidden="false" customHeight="false" outlineLevel="0" collapsed="false">
      <c r="A246" s="7" t="s">
        <v>2406</v>
      </c>
      <c r="B246" s="7" t="s">
        <v>116</v>
      </c>
      <c r="C246" s="7" t="s">
        <v>985</v>
      </c>
      <c r="D246" s="7" t="s">
        <v>78</v>
      </c>
      <c r="E246" s="7" t="s">
        <v>2407</v>
      </c>
      <c r="F246" s="7" t="s">
        <v>80</v>
      </c>
      <c r="G246" s="7" t="s">
        <v>101</v>
      </c>
      <c r="H246" s="7" t="s">
        <v>2388</v>
      </c>
      <c r="I246" s="7" t="s">
        <v>2408</v>
      </c>
      <c r="J246" s="7"/>
      <c r="K246" s="7" t="s">
        <v>85</v>
      </c>
      <c r="L246" s="7" t="s">
        <v>105</v>
      </c>
      <c r="M246" s="7" t="s">
        <v>87</v>
      </c>
      <c r="N246" s="7"/>
      <c r="O246" s="7"/>
      <c r="P246" s="7" t="s">
        <v>2409</v>
      </c>
      <c r="Q246" s="7" t="s">
        <v>988</v>
      </c>
      <c r="R246" s="7" t="s">
        <v>2410</v>
      </c>
      <c r="S246" s="7"/>
      <c r="T246" s="7" t="s">
        <v>92</v>
      </c>
      <c r="U246" s="7"/>
      <c r="V246" s="7"/>
      <c r="W246" s="7"/>
      <c r="X246" s="7"/>
      <c r="Y246" s="7"/>
      <c r="Z246" s="7"/>
      <c r="AA246" s="7"/>
      <c r="AB246" s="7"/>
      <c r="AC246" s="8" t="s">
        <v>2411</v>
      </c>
      <c r="AD246" s="7" t="s">
        <v>177</v>
      </c>
      <c r="AE246" s="7"/>
      <c r="AF246" s="7"/>
      <c r="AG246" s="7" t="s">
        <v>96</v>
      </c>
    </row>
    <row r="247" customFormat="false" ht="23.85" hidden="false" customHeight="false" outlineLevel="0" collapsed="false">
      <c r="A247" s="7" t="s">
        <v>2412</v>
      </c>
      <c r="B247" s="7" t="s">
        <v>811</v>
      </c>
      <c r="C247" s="7" t="s">
        <v>985</v>
      </c>
      <c r="D247" s="7" t="s">
        <v>78</v>
      </c>
      <c r="E247" s="7" t="s">
        <v>2413</v>
      </c>
      <c r="F247" s="7" t="s">
        <v>887</v>
      </c>
      <c r="G247" s="7" t="s">
        <v>101</v>
      </c>
      <c r="H247" s="7" t="s">
        <v>2388</v>
      </c>
      <c r="I247" s="7" t="s">
        <v>2408</v>
      </c>
      <c r="J247" s="7" t="s">
        <v>2414</v>
      </c>
      <c r="K247" s="7" t="s">
        <v>85</v>
      </c>
      <c r="L247" s="7" t="s">
        <v>105</v>
      </c>
      <c r="M247" s="7" t="s">
        <v>87</v>
      </c>
      <c r="N247" s="7"/>
      <c r="O247" s="7"/>
      <c r="P247" s="7" t="s">
        <v>88</v>
      </c>
      <c r="Q247" s="7" t="s">
        <v>988</v>
      </c>
      <c r="R247" s="7" t="s">
        <v>2415</v>
      </c>
      <c r="S247" s="7"/>
      <c r="T247" s="7" t="s">
        <v>92</v>
      </c>
      <c r="U247" s="7"/>
      <c r="V247" s="7"/>
      <c r="W247" s="7"/>
      <c r="X247" s="7"/>
      <c r="Y247" s="7"/>
      <c r="Z247" s="7"/>
      <c r="AA247" s="7"/>
      <c r="AB247" s="7"/>
      <c r="AC247" s="8" t="s">
        <v>2416</v>
      </c>
      <c r="AD247" s="7"/>
      <c r="AE247" s="7" t="s">
        <v>799</v>
      </c>
      <c r="AF247" s="7"/>
      <c r="AG247" s="7" t="s">
        <v>2417</v>
      </c>
    </row>
    <row r="248" customFormat="false" ht="35.05" hidden="false" customHeight="false" outlineLevel="0" collapsed="false">
      <c r="A248" s="7" t="s">
        <v>2418</v>
      </c>
      <c r="B248" s="7" t="s">
        <v>116</v>
      </c>
      <c r="C248" s="7" t="s">
        <v>985</v>
      </c>
      <c r="D248" s="7" t="s">
        <v>98</v>
      </c>
      <c r="E248" s="7" t="s">
        <v>2419</v>
      </c>
      <c r="F248" s="7" t="s">
        <v>80</v>
      </c>
      <c r="G248" s="7" t="s">
        <v>101</v>
      </c>
      <c r="H248" s="7" t="s">
        <v>2420</v>
      </c>
      <c r="I248" s="7" t="s">
        <v>2421</v>
      </c>
      <c r="J248" s="7"/>
      <c r="K248" s="7" t="s">
        <v>85</v>
      </c>
      <c r="L248" s="7" t="s">
        <v>105</v>
      </c>
      <c r="M248" s="7" t="s">
        <v>87</v>
      </c>
      <c r="N248" s="7"/>
      <c r="O248" s="7"/>
      <c r="P248" s="7" t="s">
        <v>106</v>
      </c>
      <c r="Q248" s="7" t="s">
        <v>988</v>
      </c>
      <c r="R248" s="7" t="s">
        <v>2422</v>
      </c>
      <c r="S248" s="7" t="s">
        <v>2423</v>
      </c>
      <c r="T248" s="7" t="s">
        <v>92</v>
      </c>
      <c r="U248" s="7"/>
      <c r="V248" s="7"/>
      <c r="W248" s="7"/>
      <c r="X248" s="7"/>
      <c r="Y248" s="7"/>
      <c r="Z248" s="7"/>
      <c r="AA248" s="7"/>
      <c r="AB248" s="7"/>
      <c r="AC248" s="8" t="s">
        <v>2424</v>
      </c>
      <c r="AD248" s="7"/>
      <c r="AE248" s="7"/>
      <c r="AF248" s="7"/>
      <c r="AG248" s="7" t="s">
        <v>2425</v>
      </c>
    </row>
    <row r="249" customFormat="false" ht="23.85" hidden="false" customHeight="false" outlineLevel="0" collapsed="false">
      <c r="A249" s="7" t="s">
        <v>2426</v>
      </c>
      <c r="B249" s="7" t="s">
        <v>811</v>
      </c>
      <c r="C249" s="7" t="s">
        <v>985</v>
      </c>
      <c r="D249" s="7" t="s">
        <v>98</v>
      </c>
      <c r="E249" s="7" t="s">
        <v>2427</v>
      </c>
      <c r="F249" s="7" t="s">
        <v>80</v>
      </c>
      <c r="G249" s="7" t="s">
        <v>101</v>
      </c>
      <c r="H249" s="7" t="s">
        <v>2420</v>
      </c>
      <c r="I249" s="7" t="s">
        <v>2421</v>
      </c>
      <c r="J249" s="7"/>
      <c r="K249" s="7" t="s">
        <v>85</v>
      </c>
      <c r="L249" s="7" t="s">
        <v>2428</v>
      </c>
      <c r="M249" s="7" t="s">
        <v>87</v>
      </c>
      <c r="N249" s="7"/>
      <c r="O249" s="7"/>
      <c r="P249" s="7" t="s">
        <v>106</v>
      </c>
      <c r="Q249" s="7" t="s">
        <v>988</v>
      </c>
      <c r="R249" s="7" t="s">
        <v>2429</v>
      </c>
      <c r="S249" s="7" t="s">
        <v>2430</v>
      </c>
      <c r="T249" s="7" t="s">
        <v>92</v>
      </c>
      <c r="U249" s="7"/>
      <c r="V249" s="7"/>
      <c r="W249" s="7"/>
      <c r="X249" s="7"/>
      <c r="Y249" s="7"/>
      <c r="Z249" s="7"/>
      <c r="AA249" s="7"/>
      <c r="AB249" s="7"/>
      <c r="AC249" s="8" t="s">
        <v>2431</v>
      </c>
      <c r="AD249" s="7" t="s">
        <v>2432</v>
      </c>
      <c r="AE249" s="7"/>
      <c r="AF249" s="7"/>
      <c r="AG249" s="7" t="s">
        <v>767</v>
      </c>
    </row>
    <row r="250" customFormat="false" ht="23.85" hidden="false" customHeight="false" outlineLevel="0" collapsed="false">
      <c r="A250" s="7" t="s">
        <v>2433</v>
      </c>
      <c r="B250" s="7" t="s">
        <v>811</v>
      </c>
      <c r="C250" s="7" t="s">
        <v>985</v>
      </c>
      <c r="D250" s="7" t="s">
        <v>78</v>
      </c>
      <c r="E250" s="7" t="s">
        <v>2434</v>
      </c>
      <c r="F250" s="7" t="s">
        <v>1213</v>
      </c>
      <c r="G250" s="7" t="s">
        <v>101</v>
      </c>
      <c r="H250" s="7" t="s">
        <v>143</v>
      </c>
      <c r="I250" s="7" t="s">
        <v>143</v>
      </c>
      <c r="J250" s="7"/>
      <c r="K250" s="7" t="s">
        <v>291</v>
      </c>
      <c r="L250" s="7" t="s">
        <v>105</v>
      </c>
      <c r="M250" s="7" t="s">
        <v>1387</v>
      </c>
      <c r="N250" s="7"/>
      <c r="O250" s="7"/>
      <c r="P250" s="7" t="s">
        <v>2435</v>
      </c>
      <c r="Q250" s="7" t="s">
        <v>2436</v>
      </c>
      <c r="R250" s="7" t="s">
        <v>2437</v>
      </c>
      <c r="S250" s="7" t="s">
        <v>2438</v>
      </c>
      <c r="T250" s="7" t="s">
        <v>109</v>
      </c>
      <c r="U250" s="7" t="s">
        <v>2439</v>
      </c>
      <c r="V250" s="8" t="s">
        <v>2440</v>
      </c>
      <c r="W250" s="7"/>
      <c r="X250" s="7"/>
      <c r="Y250" s="7"/>
      <c r="Z250" s="7"/>
      <c r="AA250" s="7"/>
      <c r="AB250" s="7"/>
      <c r="AC250" s="8" t="s">
        <v>2440</v>
      </c>
      <c r="AD250" s="7" t="s">
        <v>2441</v>
      </c>
      <c r="AE250" s="7"/>
      <c r="AF250" s="7"/>
      <c r="AG250" s="7"/>
    </row>
    <row r="251" customFormat="false" ht="79.85" hidden="false" customHeight="false" outlineLevel="0" collapsed="false">
      <c r="A251" s="7" t="s">
        <v>470</v>
      </c>
      <c r="B251" s="7" t="s">
        <v>76</v>
      </c>
      <c r="C251" s="7" t="s">
        <v>141</v>
      </c>
      <c r="D251" s="7" t="s">
        <v>78</v>
      </c>
      <c r="E251" s="7" t="s">
        <v>471</v>
      </c>
      <c r="F251" s="7" t="s">
        <v>257</v>
      </c>
      <c r="G251" s="7" t="s">
        <v>472</v>
      </c>
      <c r="H251" s="7" t="s">
        <v>473</v>
      </c>
      <c r="I251" s="7" t="s">
        <v>474</v>
      </c>
      <c r="J251" s="7" t="s">
        <v>475</v>
      </c>
      <c r="K251" s="7" t="s">
        <v>85</v>
      </c>
      <c r="L251" s="7" t="s">
        <v>476</v>
      </c>
      <c r="M251" s="7" t="s">
        <v>87</v>
      </c>
      <c r="N251" s="7"/>
      <c r="O251" s="7" t="s">
        <v>477</v>
      </c>
      <c r="P251" s="7" t="s">
        <v>478</v>
      </c>
      <c r="Q251" s="7" t="s">
        <v>479</v>
      </c>
      <c r="R251" s="7" t="s">
        <v>480</v>
      </c>
      <c r="S251" s="7" t="s">
        <v>481</v>
      </c>
      <c r="T251" s="7" t="s">
        <v>92</v>
      </c>
      <c r="U251" s="7"/>
      <c r="V251" s="7"/>
      <c r="W251" s="7"/>
      <c r="X251" s="7"/>
      <c r="Y251" s="7"/>
      <c r="Z251" s="7"/>
      <c r="AA251" s="7"/>
      <c r="AB251" s="7" t="s">
        <v>482</v>
      </c>
      <c r="AC251" s="8" t="s">
        <v>483</v>
      </c>
      <c r="AD251" s="7" t="s">
        <v>245</v>
      </c>
      <c r="AE251" s="7" t="s">
        <v>484</v>
      </c>
      <c r="AF251" s="7"/>
      <c r="AG251" s="7" t="s">
        <v>485</v>
      </c>
    </row>
    <row r="252" customFormat="false" ht="102.2" hidden="false" customHeight="false" outlineLevel="0" collapsed="false">
      <c r="A252" s="7" t="s">
        <v>2442</v>
      </c>
      <c r="B252" s="7" t="s">
        <v>76</v>
      </c>
      <c r="C252" s="7" t="s">
        <v>985</v>
      </c>
      <c r="D252" s="7" t="s">
        <v>78</v>
      </c>
      <c r="E252" s="7" t="s">
        <v>2443</v>
      </c>
      <c r="F252" s="7" t="s">
        <v>80</v>
      </c>
      <c r="G252" s="7" t="s">
        <v>472</v>
      </c>
      <c r="H252" s="7" t="s">
        <v>473</v>
      </c>
      <c r="I252" s="7" t="s">
        <v>474</v>
      </c>
      <c r="J252" s="7" t="s">
        <v>2444</v>
      </c>
      <c r="K252" s="7" t="s">
        <v>85</v>
      </c>
      <c r="L252" s="7" t="s">
        <v>2445</v>
      </c>
      <c r="M252" s="7" t="s">
        <v>87</v>
      </c>
      <c r="N252" s="7" t="s">
        <v>2446</v>
      </c>
      <c r="O252" s="7" t="s">
        <v>2447</v>
      </c>
      <c r="P252" s="7" t="s">
        <v>2448</v>
      </c>
      <c r="Q252" s="7" t="s">
        <v>2449</v>
      </c>
      <c r="R252" s="7" t="s">
        <v>2450</v>
      </c>
      <c r="S252" s="7" t="s">
        <v>2451</v>
      </c>
      <c r="T252" s="7" t="s">
        <v>109</v>
      </c>
      <c r="U252" s="7" t="s">
        <v>2452</v>
      </c>
      <c r="V252" s="8" t="s">
        <v>2453</v>
      </c>
      <c r="W252" s="7"/>
      <c r="X252" s="7"/>
      <c r="Y252" s="7" t="s">
        <v>2454</v>
      </c>
      <c r="Z252" s="7"/>
      <c r="AA252" s="8" t="s">
        <v>2455</v>
      </c>
      <c r="AB252" s="7" t="s">
        <v>2456</v>
      </c>
      <c r="AC252" s="8" t="s">
        <v>2457</v>
      </c>
      <c r="AD252" s="7"/>
      <c r="AE252" s="7" t="s">
        <v>2458</v>
      </c>
      <c r="AF252" s="7" t="s">
        <v>2459</v>
      </c>
      <c r="AG252" s="7" t="s">
        <v>2460</v>
      </c>
    </row>
    <row r="253" customFormat="false" ht="46.25" hidden="false" customHeight="false" outlineLevel="0" collapsed="false">
      <c r="A253" s="7" t="s">
        <v>2461</v>
      </c>
      <c r="B253" s="7" t="s">
        <v>116</v>
      </c>
      <c r="C253" s="7" t="s">
        <v>985</v>
      </c>
      <c r="D253" s="7" t="s">
        <v>98</v>
      </c>
      <c r="E253" s="7" t="s">
        <v>2462</v>
      </c>
      <c r="F253" s="7" t="s">
        <v>257</v>
      </c>
      <c r="G253" s="7" t="s">
        <v>472</v>
      </c>
      <c r="H253" s="7" t="s">
        <v>473</v>
      </c>
      <c r="I253" s="7" t="s">
        <v>474</v>
      </c>
      <c r="J253" s="7" t="s">
        <v>2463</v>
      </c>
      <c r="K253" s="7" t="s">
        <v>85</v>
      </c>
      <c r="L253" s="7" t="s">
        <v>2464</v>
      </c>
      <c r="M253" s="7" t="s">
        <v>2465</v>
      </c>
      <c r="N253" s="7"/>
      <c r="O253" s="7"/>
      <c r="P253" s="7" t="s">
        <v>106</v>
      </c>
      <c r="Q253" s="7" t="s">
        <v>2466</v>
      </c>
      <c r="R253" s="7" t="s">
        <v>2467</v>
      </c>
      <c r="S253" s="7" t="s">
        <v>372</v>
      </c>
      <c r="T253" s="7" t="s">
        <v>65</v>
      </c>
      <c r="U253" s="7"/>
      <c r="V253" s="7"/>
      <c r="W253" s="8" t="s">
        <v>2468</v>
      </c>
      <c r="X253" s="7" t="s">
        <v>2469</v>
      </c>
      <c r="Y253" s="7"/>
      <c r="Z253" s="7"/>
      <c r="AA253" s="7"/>
      <c r="AB253" s="7" t="s">
        <v>2470</v>
      </c>
      <c r="AC253" s="8" t="s">
        <v>2468</v>
      </c>
      <c r="AD253" s="7"/>
      <c r="AE253" s="7" t="s">
        <v>2471</v>
      </c>
      <c r="AF253" s="7" t="s">
        <v>2472</v>
      </c>
      <c r="AG253" s="7" t="s">
        <v>2473</v>
      </c>
    </row>
    <row r="254" customFormat="false" ht="35.05" hidden="false" customHeight="false" outlineLevel="0" collapsed="false">
      <c r="A254" s="7" t="s">
        <v>2474</v>
      </c>
      <c r="B254" s="7" t="s">
        <v>116</v>
      </c>
      <c r="C254" s="7" t="s">
        <v>985</v>
      </c>
      <c r="D254" s="7" t="s">
        <v>98</v>
      </c>
      <c r="E254" s="7" t="s">
        <v>2475</v>
      </c>
      <c r="F254" s="7" t="s">
        <v>100</v>
      </c>
      <c r="G254" s="7" t="s">
        <v>472</v>
      </c>
      <c r="H254" s="7" t="s">
        <v>473</v>
      </c>
      <c r="I254" s="7" t="s">
        <v>474</v>
      </c>
      <c r="J254" s="7" t="s">
        <v>2476</v>
      </c>
      <c r="K254" s="7" t="s">
        <v>85</v>
      </c>
      <c r="L254" s="7" t="s">
        <v>2477</v>
      </c>
      <c r="M254" s="7" t="s">
        <v>2478</v>
      </c>
      <c r="N254" s="7"/>
      <c r="O254" s="7"/>
      <c r="P254" s="7" t="s">
        <v>106</v>
      </c>
      <c r="Q254" s="7" t="s">
        <v>1276</v>
      </c>
      <c r="R254" s="7" t="s">
        <v>2479</v>
      </c>
      <c r="S254" s="7"/>
      <c r="T254" s="7" t="s">
        <v>109</v>
      </c>
      <c r="U254" s="7" t="s">
        <v>2480</v>
      </c>
      <c r="V254" s="8" t="s">
        <v>2481</v>
      </c>
      <c r="W254" s="7"/>
      <c r="X254" s="7"/>
      <c r="Y254" s="7"/>
      <c r="Z254" s="7"/>
      <c r="AA254" s="7"/>
      <c r="AB254" s="7" t="s">
        <v>2482</v>
      </c>
      <c r="AC254" s="8" t="s">
        <v>2481</v>
      </c>
      <c r="AD254" s="7"/>
      <c r="AE254" s="7"/>
      <c r="AF254" s="7"/>
      <c r="AG254" s="7" t="s">
        <v>2483</v>
      </c>
    </row>
    <row r="255" customFormat="false" ht="68.65" hidden="false" customHeight="false" outlineLevel="0" collapsed="false">
      <c r="A255" s="7" t="s">
        <v>2484</v>
      </c>
      <c r="B255" s="7" t="s">
        <v>116</v>
      </c>
      <c r="C255" s="7" t="s">
        <v>985</v>
      </c>
      <c r="D255" s="7" t="s">
        <v>98</v>
      </c>
      <c r="E255" s="7" t="s">
        <v>2485</v>
      </c>
      <c r="F255" s="7" t="s">
        <v>100</v>
      </c>
      <c r="G255" s="7" t="s">
        <v>472</v>
      </c>
      <c r="H255" s="7" t="s">
        <v>473</v>
      </c>
      <c r="I255" s="7" t="s">
        <v>474</v>
      </c>
      <c r="J255" s="7" t="s">
        <v>2486</v>
      </c>
      <c r="K255" s="7" t="s">
        <v>85</v>
      </c>
      <c r="L255" s="7" t="s">
        <v>2487</v>
      </c>
      <c r="M255" s="7" t="s">
        <v>87</v>
      </c>
      <c r="N255" s="7"/>
      <c r="O255" s="7"/>
      <c r="P255" s="7" t="s">
        <v>2488</v>
      </c>
      <c r="Q255" s="7" t="s">
        <v>1276</v>
      </c>
      <c r="R255" s="7" t="s">
        <v>2489</v>
      </c>
      <c r="S255" s="7" t="s">
        <v>2490</v>
      </c>
      <c r="T255" s="7" t="s">
        <v>109</v>
      </c>
      <c r="U255" s="7" t="s">
        <v>2491</v>
      </c>
      <c r="V255" s="8" t="s">
        <v>2492</v>
      </c>
      <c r="W255" s="7"/>
      <c r="X255" s="7"/>
      <c r="Y255" s="7"/>
      <c r="Z255" s="7"/>
      <c r="AA255" s="7"/>
      <c r="AB255" s="7"/>
      <c r="AC255" s="8" t="s">
        <v>2492</v>
      </c>
      <c r="AD255" s="7"/>
      <c r="AE255" s="7" t="s">
        <v>2493</v>
      </c>
      <c r="AF255" s="7"/>
      <c r="AG255" s="7" t="s">
        <v>2494</v>
      </c>
    </row>
    <row r="256" customFormat="false" ht="35.05" hidden="false" customHeight="false" outlineLevel="0" collapsed="false">
      <c r="A256" s="7" t="s">
        <v>2495</v>
      </c>
      <c r="B256" s="7" t="s">
        <v>116</v>
      </c>
      <c r="C256" s="7" t="s">
        <v>985</v>
      </c>
      <c r="D256" s="7" t="s">
        <v>78</v>
      </c>
      <c r="E256" s="7" t="s">
        <v>2496</v>
      </c>
      <c r="F256" s="7" t="s">
        <v>379</v>
      </c>
      <c r="G256" s="7" t="s">
        <v>472</v>
      </c>
      <c r="H256" s="7" t="s">
        <v>473</v>
      </c>
      <c r="I256" s="7" t="s">
        <v>474</v>
      </c>
      <c r="J256" s="7" t="s">
        <v>2497</v>
      </c>
      <c r="K256" s="7" t="s">
        <v>85</v>
      </c>
      <c r="L256" s="7" t="s">
        <v>105</v>
      </c>
      <c r="M256" s="7" t="s">
        <v>87</v>
      </c>
      <c r="N256" s="7"/>
      <c r="O256" s="7"/>
      <c r="P256" s="7" t="s">
        <v>88</v>
      </c>
      <c r="Q256" s="7" t="s">
        <v>988</v>
      </c>
      <c r="R256" s="7" t="s">
        <v>2498</v>
      </c>
      <c r="S256" s="7" t="s">
        <v>2499</v>
      </c>
      <c r="T256" s="7" t="s">
        <v>109</v>
      </c>
      <c r="U256" s="7" t="s">
        <v>2500</v>
      </c>
      <c r="V256" s="8" t="s">
        <v>2501</v>
      </c>
      <c r="W256" s="7"/>
      <c r="X256" s="7"/>
      <c r="Y256" s="7"/>
      <c r="Z256" s="7"/>
      <c r="AA256" s="7"/>
      <c r="AB256" s="7"/>
      <c r="AC256" s="8" t="s">
        <v>2501</v>
      </c>
      <c r="AD256" s="7" t="s">
        <v>177</v>
      </c>
      <c r="AE256" s="7"/>
      <c r="AF256" s="7"/>
      <c r="AG256" s="7"/>
    </row>
    <row r="257" customFormat="false" ht="35.05" hidden="false" customHeight="false" outlineLevel="0" collapsed="false">
      <c r="A257" s="7" t="s">
        <v>2502</v>
      </c>
      <c r="B257" s="7" t="s">
        <v>116</v>
      </c>
      <c r="C257" s="7" t="s">
        <v>985</v>
      </c>
      <c r="D257" s="7" t="s">
        <v>78</v>
      </c>
      <c r="E257" s="7" t="s">
        <v>2503</v>
      </c>
      <c r="F257" s="7" t="s">
        <v>80</v>
      </c>
      <c r="G257" s="7" t="s">
        <v>472</v>
      </c>
      <c r="H257" s="7" t="s">
        <v>473</v>
      </c>
      <c r="I257" s="7" t="s">
        <v>474</v>
      </c>
      <c r="J257" s="7" t="s">
        <v>2504</v>
      </c>
      <c r="K257" s="7" t="s">
        <v>85</v>
      </c>
      <c r="L257" s="7" t="s">
        <v>105</v>
      </c>
      <c r="M257" s="7" t="s">
        <v>87</v>
      </c>
      <c r="N257" s="7"/>
      <c r="O257" s="7"/>
      <c r="P257" s="7" t="s">
        <v>88</v>
      </c>
      <c r="Q257" s="7" t="s">
        <v>988</v>
      </c>
      <c r="R257" s="7" t="s">
        <v>2505</v>
      </c>
      <c r="S257" s="7" t="s">
        <v>2506</v>
      </c>
      <c r="T257" s="7" t="s">
        <v>92</v>
      </c>
      <c r="U257" s="7"/>
      <c r="V257" s="7"/>
      <c r="W257" s="7"/>
      <c r="X257" s="7"/>
      <c r="Y257" s="7"/>
      <c r="Z257" s="7"/>
      <c r="AA257" s="7"/>
      <c r="AB257" s="7"/>
      <c r="AC257" s="8" t="s">
        <v>2507</v>
      </c>
      <c r="AD257" s="7" t="s">
        <v>177</v>
      </c>
      <c r="AE257" s="7"/>
      <c r="AF257" s="7"/>
      <c r="AG257" s="7" t="s">
        <v>96</v>
      </c>
    </row>
    <row r="258" customFormat="false" ht="35.05" hidden="false" customHeight="false" outlineLevel="0" collapsed="false">
      <c r="A258" s="7" t="s">
        <v>2508</v>
      </c>
      <c r="B258" s="7" t="s">
        <v>116</v>
      </c>
      <c r="C258" s="7" t="s">
        <v>985</v>
      </c>
      <c r="D258" s="7" t="s">
        <v>78</v>
      </c>
      <c r="E258" s="7" t="s">
        <v>2509</v>
      </c>
      <c r="F258" s="7" t="s">
        <v>80</v>
      </c>
      <c r="G258" s="7" t="s">
        <v>472</v>
      </c>
      <c r="H258" s="7" t="s">
        <v>473</v>
      </c>
      <c r="I258" s="7" t="s">
        <v>474</v>
      </c>
      <c r="J258" s="7" t="s">
        <v>2497</v>
      </c>
      <c r="K258" s="7" t="s">
        <v>85</v>
      </c>
      <c r="L258" s="7" t="s">
        <v>105</v>
      </c>
      <c r="M258" s="7" t="s">
        <v>87</v>
      </c>
      <c r="N258" s="7"/>
      <c r="O258" s="7"/>
      <c r="P258" s="7" t="s">
        <v>88</v>
      </c>
      <c r="Q258" s="7" t="s">
        <v>988</v>
      </c>
      <c r="R258" s="7" t="s">
        <v>2510</v>
      </c>
      <c r="S258" s="7"/>
      <c r="T258" s="7" t="s">
        <v>109</v>
      </c>
      <c r="U258" s="7" t="s">
        <v>2511</v>
      </c>
      <c r="V258" s="8" t="s">
        <v>2512</v>
      </c>
      <c r="W258" s="7"/>
      <c r="X258" s="7"/>
      <c r="Y258" s="7"/>
      <c r="Z258" s="7"/>
      <c r="AA258" s="7"/>
      <c r="AB258" s="7"/>
      <c r="AC258" s="8" t="s">
        <v>2512</v>
      </c>
      <c r="AD258" s="7" t="s">
        <v>177</v>
      </c>
      <c r="AE258" s="7"/>
      <c r="AF258" s="7"/>
      <c r="AG258" s="7"/>
    </row>
    <row r="259" customFormat="false" ht="23.85" hidden="false" customHeight="false" outlineLevel="0" collapsed="false">
      <c r="A259" s="7" t="s">
        <v>2513</v>
      </c>
      <c r="B259" s="7" t="s">
        <v>811</v>
      </c>
      <c r="C259" s="7" t="s">
        <v>985</v>
      </c>
      <c r="D259" s="7" t="s">
        <v>98</v>
      </c>
      <c r="E259" s="7" t="s">
        <v>2514</v>
      </c>
      <c r="F259" s="7" t="s">
        <v>80</v>
      </c>
      <c r="G259" s="7" t="s">
        <v>472</v>
      </c>
      <c r="H259" s="7" t="s">
        <v>473</v>
      </c>
      <c r="I259" s="7" t="s">
        <v>474</v>
      </c>
      <c r="J259" s="7" t="s">
        <v>2515</v>
      </c>
      <c r="K259" s="7" t="s">
        <v>85</v>
      </c>
      <c r="L259" s="7" t="s">
        <v>2516</v>
      </c>
      <c r="M259" s="7" t="s">
        <v>87</v>
      </c>
      <c r="N259" s="7"/>
      <c r="O259" s="7"/>
      <c r="P259" s="7" t="s">
        <v>106</v>
      </c>
      <c r="Q259" s="7" t="s">
        <v>988</v>
      </c>
      <c r="R259" s="7" t="s">
        <v>2517</v>
      </c>
      <c r="S259" s="7"/>
      <c r="T259" s="7" t="s">
        <v>109</v>
      </c>
      <c r="U259" s="7" t="s">
        <v>2518</v>
      </c>
      <c r="V259" s="8" t="s">
        <v>2519</v>
      </c>
      <c r="W259" s="7"/>
      <c r="X259" s="7"/>
      <c r="Y259" s="7"/>
      <c r="Z259" s="7"/>
      <c r="AA259" s="7"/>
      <c r="AB259" s="7"/>
      <c r="AC259" s="8" t="s">
        <v>2519</v>
      </c>
      <c r="AD259" s="7"/>
      <c r="AE259" s="7" t="s">
        <v>2520</v>
      </c>
      <c r="AF259" s="7"/>
      <c r="AG259" s="7" t="s">
        <v>2521</v>
      </c>
    </row>
    <row r="260" customFormat="false" ht="57.45" hidden="false" customHeight="false" outlineLevel="0" collapsed="false">
      <c r="A260" s="7" t="s">
        <v>2522</v>
      </c>
      <c r="B260" s="7" t="s">
        <v>811</v>
      </c>
      <c r="C260" s="7" t="s">
        <v>985</v>
      </c>
      <c r="D260" s="7" t="s">
        <v>98</v>
      </c>
      <c r="E260" s="7" t="s">
        <v>2523</v>
      </c>
      <c r="F260" s="7" t="s">
        <v>118</v>
      </c>
      <c r="G260" s="7" t="s">
        <v>472</v>
      </c>
      <c r="H260" s="7" t="s">
        <v>473</v>
      </c>
      <c r="I260" s="7" t="s">
        <v>474</v>
      </c>
      <c r="J260" s="7" t="s">
        <v>2524</v>
      </c>
      <c r="K260" s="7" t="s">
        <v>2525</v>
      </c>
      <c r="L260" s="7" t="s">
        <v>2526</v>
      </c>
      <c r="M260" s="7" t="s">
        <v>122</v>
      </c>
      <c r="N260" s="7"/>
      <c r="O260" s="7"/>
      <c r="P260" s="7" t="s">
        <v>2527</v>
      </c>
      <c r="Q260" s="7" t="s">
        <v>2528</v>
      </c>
      <c r="R260" s="7" t="s">
        <v>2529</v>
      </c>
      <c r="S260" s="7" t="s">
        <v>2530</v>
      </c>
      <c r="T260" s="7" t="s">
        <v>65</v>
      </c>
      <c r="U260" s="7"/>
      <c r="V260" s="7"/>
      <c r="W260" s="8" t="s">
        <v>2531</v>
      </c>
      <c r="X260" s="7" t="s">
        <v>2532</v>
      </c>
      <c r="Y260" s="7"/>
      <c r="Z260" s="7"/>
      <c r="AA260" s="7"/>
      <c r="AB260" s="7" t="s">
        <v>2533</v>
      </c>
      <c r="AC260" s="8" t="s">
        <v>2531</v>
      </c>
      <c r="AD260" s="7"/>
      <c r="AE260" s="7" t="s">
        <v>2534</v>
      </c>
      <c r="AF260" s="7" t="s">
        <v>2535</v>
      </c>
      <c r="AG260" s="7" t="s">
        <v>2536</v>
      </c>
    </row>
    <row r="261" customFormat="false" ht="46.25" hidden="false" customHeight="false" outlineLevel="0" collapsed="false">
      <c r="A261" s="7" t="s">
        <v>936</v>
      </c>
      <c r="B261" s="7" t="s">
        <v>811</v>
      </c>
      <c r="C261" s="7" t="s">
        <v>141</v>
      </c>
      <c r="D261" s="7" t="s">
        <v>98</v>
      </c>
      <c r="E261" s="7" t="s">
        <v>937</v>
      </c>
      <c r="F261" s="7" t="s">
        <v>100</v>
      </c>
      <c r="G261" s="7" t="s">
        <v>472</v>
      </c>
      <c r="H261" s="7" t="s">
        <v>473</v>
      </c>
      <c r="I261" s="7" t="s">
        <v>474</v>
      </c>
      <c r="J261" s="7" t="s">
        <v>938</v>
      </c>
      <c r="K261" s="7" t="s">
        <v>939</v>
      </c>
      <c r="L261" s="7" t="s">
        <v>105</v>
      </c>
      <c r="M261" s="7" t="s">
        <v>940</v>
      </c>
      <c r="N261" s="7"/>
      <c r="O261" s="7"/>
      <c r="P261" s="7" t="s">
        <v>106</v>
      </c>
      <c r="Q261" s="7" t="s">
        <v>144</v>
      </c>
      <c r="R261" s="7" t="s">
        <v>941</v>
      </c>
      <c r="S261" s="7"/>
      <c r="T261" s="7" t="s">
        <v>92</v>
      </c>
      <c r="U261" s="7"/>
      <c r="V261" s="7"/>
      <c r="W261" s="7"/>
      <c r="X261" s="7"/>
      <c r="Y261" s="7"/>
      <c r="Z261" s="7"/>
      <c r="AA261" s="7"/>
      <c r="AB261" s="7"/>
      <c r="AC261" s="8" t="s">
        <v>942</v>
      </c>
      <c r="AD261" s="7"/>
      <c r="AE261" s="7"/>
      <c r="AF261" s="7"/>
      <c r="AG261" s="7" t="s">
        <v>943</v>
      </c>
    </row>
    <row r="262" customFormat="false" ht="57.45" hidden="false" customHeight="false" outlineLevel="0" collapsed="false">
      <c r="A262" s="7" t="s">
        <v>2537</v>
      </c>
      <c r="B262" s="7" t="s">
        <v>811</v>
      </c>
      <c r="C262" s="7" t="s">
        <v>985</v>
      </c>
      <c r="D262" s="7" t="s">
        <v>78</v>
      </c>
      <c r="E262" s="7" t="s">
        <v>2538</v>
      </c>
      <c r="F262" s="7" t="s">
        <v>118</v>
      </c>
      <c r="G262" s="7" t="s">
        <v>472</v>
      </c>
      <c r="H262" s="7" t="s">
        <v>473</v>
      </c>
      <c r="I262" s="7" t="s">
        <v>474</v>
      </c>
      <c r="J262" s="7" t="s">
        <v>2539</v>
      </c>
      <c r="K262" s="7" t="s">
        <v>2540</v>
      </c>
      <c r="L262" s="7" t="s">
        <v>2541</v>
      </c>
      <c r="M262" s="7" t="s">
        <v>122</v>
      </c>
      <c r="N262" s="7"/>
      <c r="O262" s="7" t="s">
        <v>2542</v>
      </c>
      <c r="P262" s="7" t="s">
        <v>2543</v>
      </c>
      <c r="Q262" s="7" t="s">
        <v>2544</v>
      </c>
      <c r="R262" s="7" t="s">
        <v>2545</v>
      </c>
      <c r="S262" s="7" t="s">
        <v>2546</v>
      </c>
      <c r="T262" s="7" t="s">
        <v>109</v>
      </c>
      <c r="U262" s="7" t="s">
        <v>2547</v>
      </c>
      <c r="V262" s="8" t="s">
        <v>2548</v>
      </c>
      <c r="W262" s="7"/>
      <c r="X262" s="7"/>
      <c r="Y262" s="7"/>
      <c r="Z262" s="7"/>
      <c r="AA262" s="7"/>
      <c r="AB262" s="7"/>
      <c r="AC262" s="8" t="s">
        <v>2549</v>
      </c>
      <c r="AD262" s="7"/>
      <c r="AE262" s="7" t="s">
        <v>2550</v>
      </c>
      <c r="AF262" s="7"/>
      <c r="AG262" s="7" t="s">
        <v>2551</v>
      </c>
    </row>
    <row r="263" customFormat="false" ht="23.85" hidden="false" customHeight="false" outlineLevel="0" collapsed="false">
      <c r="A263" s="7" t="s">
        <v>2552</v>
      </c>
      <c r="B263" s="7" t="s">
        <v>811</v>
      </c>
      <c r="C263" s="7" t="s">
        <v>985</v>
      </c>
      <c r="D263" s="7" t="s">
        <v>98</v>
      </c>
      <c r="E263" s="7" t="s">
        <v>2553</v>
      </c>
      <c r="F263" s="7" t="s">
        <v>257</v>
      </c>
      <c r="G263" s="7" t="s">
        <v>472</v>
      </c>
      <c r="H263" s="7" t="s">
        <v>473</v>
      </c>
      <c r="I263" s="7" t="s">
        <v>2554</v>
      </c>
      <c r="J263" s="7" t="s">
        <v>2555</v>
      </c>
      <c r="K263" s="7" t="s">
        <v>85</v>
      </c>
      <c r="L263" s="7" t="s">
        <v>2556</v>
      </c>
      <c r="M263" s="7" t="s">
        <v>87</v>
      </c>
      <c r="N263" s="7"/>
      <c r="O263" s="7"/>
      <c r="P263" s="7" t="s">
        <v>106</v>
      </c>
      <c r="Q263" s="7" t="s">
        <v>988</v>
      </c>
      <c r="R263" s="7" t="s">
        <v>2557</v>
      </c>
      <c r="S263" s="7"/>
      <c r="T263" s="7" t="s">
        <v>109</v>
      </c>
      <c r="U263" s="7" t="s">
        <v>2558</v>
      </c>
      <c r="V263" s="8" t="s">
        <v>2559</v>
      </c>
      <c r="W263" s="7"/>
      <c r="X263" s="7"/>
      <c r="Y263" s="7"/>
      <c r="Z263" s="7"/>
      <c r="AA263" s="7"/>
      <c r="AB263" s="7"/>
      <c r="AC263" s="8" t="s">
        <v>2559</v>
      </c>
      <c r="AD263" s="7"/>
      <c r="AE263" s="7"/>
      <c r="AF263" s="7"/>
      <c r="AG263" s="7" t="s">
        <v>767</v>
      </c>
    </row>
    <row r="264" customFormat="false" ht="91" hidden="false" customHeight="false" outlineLevel="0" collapsed="false">
      <c r="A264" s="7" t="s">
        <v>2560</v>
      </c>
      <c r="B264" s="7" t="s">
        <v>811</v>
      </c>
      <c r="C264" s="7" t="s">
        <v>985</v>
      </c>
      <c r="D264" s="7" t="s">
        <v>78</v>
      </c>
      <c r="E264" s="7" t="s">
        <v>2561</v>
      </c>
      <c r="F264" s="7" t="s">
        <v>118</v>
      </c>
      <c r="G264" s="7" t="s">
        <v>472</v>
      </c>
      <c r="H264" s="7" t="s">
        <v>2562</v>
      </c>
      <c r="I264" s="7" t="s">
        <v>2563</v>
      </c>
      <c r="J264" s="7" t="s">
        <v>2564</v>
      </c>
      <c r="K264" s="7" t="s">
        <v>2565</v>
      </c>
      <c r="L264" s="7" t="s">
        <v>2566</v>
      </c>
      <c r="M264" s="7" t="s">
        <v>2567</v>
      </c>
      <c r="N264" s="7"/>
      <c r="O264" s="7"/>
      <c r="P264" s="7" t="s">
        <v>2568</v>
      </c>
      <c r="Q264" s="7" t="s">
        <v>2569</v>
      </c>
      <c r="R264" s="7" t="s">
        <v>2570</v>
      </c>
      <c r="S264" s="7" t="s">
        <v>2571</v>
      </c>
      <c r="T264" s="7" t="s">
        <v>92</v>
      </c>
      <c r="U264" s="7"/>
      <c r="V264" s="7"/>
      <c r="W264" s="7"/>
      <c r="X264" s="7"/>
      <c r="Y264" s="7"/>
      <c r="Z264" s="7"/>
      <c r="AA264" s="7"/>
      <c r="AB264" s="7"/>
      <c r="AC264" s="8" t="s">
        <v>2572</v>
      </c>
      <c r="AD264" s="7" t="s">
        <v>245</v>
      </c>
      <c r="AE264" s="7" t="s">
        <v>2573</v>
      </c>
      <c r="AF264" s="7"/>
      <c r="AG264" s="7" t="s">
        <v>2574</v>
      </c>
    </row>
    <row r="265" customFormat="false" ht="46.25" hidden="false" customHeight="false" outlineLevel="0" collapsed="false">
      <c r="A265" s="7" t="s">
        <v>2575</v>
      </c>
      <c r="B265" s="7" t="s">
        <v>811</v>
      </c>
      <c r="C265" s="7" t="s">
        <v>985</v>
      </c>
      <c r="D265" s="7" t="s">
        <v>98</v>
      </c>
      <c r="E265" s="7" t="s">
        <v>2576</v>
      </c>
      <c r="F265" s="7" t="s">
        <v>80</v>
      </c>
      <c r="G265" s="7" t="s">
        <v>472</v>
      </c>
      <c r="H265" s="7" t="s">
        <v>2577</v>
      </c>
      <c r="I265" s="7" t="s">
        <v>2578</v>
      </c>
      <c r="J265" s="7" t="s">
        <v>2579</v>
      </c>
      <c r="K265" s="7" t="s">
        <v>85</v>
      </c>
      <c r="L265" s="7" t="s">
        <v>2580</v>
      </c>
      <c r="M265" s="7" t="s">
        <v>87</v>
      </c>
      <c r="N265" s="7"/>
      <c r="O265" s="7"/>
      <c r="P265" s="7" t="s">
        <v>106</v>
      </c>
      <c r="Q265" s="7" t="s">
        <v>988</v>
      </c>
      <c r="R265" s="7" t="s">
        <v>2581</v>
      </c>
      <c r="S265" s="7"/>
      <c r="T265" s="7" t="s">
        <v>109</v>
      </c>
      <c r="U265" s="7" t="s">
        <v>2582</v>
      </c>
      <c r="V265" s="8" t="s">
        <v>2583</v>
      </c>
      <c r="W265" s="7"/>
      <c r="X265" s="7"/>
      <c r="Y265" s="7" t="s">
        <v>2584</v>
      </c>
      <c r="Z265" s="7"/>
      <c r="AA265" s="7"/>
      <c r="AB265" s="7"/>
      <c r="AC265" s="8" t="s">
        <v>2583</v>
      </c>
      <c r="AD265" s="7"/>
      <c r="AE265" s="7"/>
      <c r="AF265" s="7"/>
      <c r="AG265" s="7" t="s">
        <v>2585</v>
      </c>
    </row>
    <row r="266" customFormat="false" ht="23.85" hidden="false" customHeight="false" outlineLevel="0" collapsed="false">
      <c r="A266" s="7" t="s">
        <v>2586</v>
      </c>
      <c r="B266" s="7" t="s">
        <v>811</v>
      </c>
      <c r="C266" s="7" t="s">
        <v>985</v>
      </c>
      <c r="D266" s="7" t="s">
        <v>98</v>
      </c>
      <c r="E266" s="7" t="s">
        <v>2587</v>
      </c>
      <c r="F266" s="7" t="s">
        <v>80</v>
      </c>
      <c r="G266" s="7" t="s">
        <v>472</v>
      </c>
      <c r="H266" s="7" t="s">
        <v>2577</v>
      </c>
      <c r="I266" s="7" t="s">
        <v>2578</v>
      </c>
      <c r="J266" s="7" t="s">
        <v>2588</v>
      </c>
      <c r="K266" s="7" t="s">
        <v>85</v>
      </c>
      <c r="L266" s="7" t="s">
        <v>105</v>
      </c>
      <c r="M266" s="7" t="s">
        <v>87</v>
      </c>
      <c r="N266" s="7"/>
      <c r="O266" s="7"/>
      <c r="P266" s="7" t="s">
        <v>106</v>
      </c>
      <c r="Q266" s="7" t="s">
        <v>988</v>
      </c>
      <c r="R266" s="7" t="s">
        <v>2589</v>
      </c>
      <c r="S266" s="7"/>
      <c r="T266" s="7" t="s">
        <v>92</v>
      </c>
      <c r="U266" s="7"/>
      <c r="V266" s="7"/>
      <c r="W266" s="7"/>
      <c r="X266" s="7"/>
      <c r="Y266" s="7"/>
      <c r="Z266" s="7"/>
      <c r="AA266" s="7"/>
      <c r="AB266" s="7"/>
      <c r="AC266" s="8" t="s">
        <v>2590</v>
      </c>
      <c r="AD266" s="7" t="s">
        <v>1523</v>
      </c>
      <c r="AE266" s="7"/>
      <c r="AF266" s="7"/>
      <c r="AG266" s="7" t="s">
        <v>96</v>
      </c>
    </row>
    <row r="267" customFormat="false" ht="35.05" hidden="false" customHeight="false" outlineLevel="0" collapsed="false">
      <c r="A267" s="7" t="s">
        <v>598</v>
      </c>
      <c r="B267" s="7" t="s">
        <v>76</v>
      </c>
      <c r="C267" s="7" t="s">
        <v>141</v>
      </c>
      <c r="D267" s="7" t="s">
        <v>98</v>
      </c>
      <c r="E267" s="7" t="s">
        <v>599</v>
      </c>
      <c r="F267" s="7" t="s">
        <v>80</v>
      </c>
      <c r="G267" s="7" t="s">
        <v>472</v>
      </c>
      <c r="H267" s="7" t="s">
        <v>600</v>
      </c>
      <c r="I267" s="7" t="s">
        <v>601</v>
      </c>
      <c r="J267" s="7"/>
      <c r="K267" s="7" t="s">
        <v>85</v>
      </c>
      <c r="L267" s="7" t="s">
        <v>105</v>
      </c>
      <c r="M267" s="7" t="s">
        <v>87</v>
      </c>
      <c r="N267" s="7"/>
      <c r="O267" s="7"/>
      <c r="P267" s="7" t="s">
        <v>106</v>
      </c>
      <c r="Q267" s="7" t="s">
        <v>144</v>
      </c>
      <c r="R267" s="7" t="s">
        <v>602</v>
      </c>
      <c r="S267" s="7"/>
      <c r="T267" s="7" t="s">
        <v>109</v>
      </c>
      <c r="U267" s="7" t="s">
        <v>603</v>
      </c>
      <c r="V267" s="8" t="s">
        <v>604</v>
      </c>
      <c r="W267" s="7"/>
      <c r="X267" s="7"/>
      <c r="Y267" s="7"/>
      <c r="Z267" s="7"/>
      <c r="AA267" s="7"/>
      <c r="AB267" s="7"/>
      <c r="AC267" s="8" t="s">
        <v>604</v>
      </c>
      <c r="AD267" s="7"/>
      <c r="AE267" s="7"/>
      <c r="AF267" s="7"/>
      <c r="AG267" s="7"/>
    </row>
    <row r="268" customFormat="false" ht="79.85" hidden="false" customHeight="false" outlineLevel="0" collapsed="false">
      <c r="A268" s="7" t="s">
        <v>2591</v>
      </c>
      <c r="B268" s="7" t="s">
        <v>116</v>
      </c>
      <c r="C268" s="7" t="s">
        <v>985</v>
      </c>
      <c r="D268" s="7" t="s">
        <v>98</v>
      </c>
      <c r="E268" s="7" t="s">
        <v>2592</v>
      </c>
      <c r="F268" s="7" t="s">
        <v>257</v>
      </c>
      <c r="G268" s="7" t="s">
        <v>946</v>
      </c>
      <c r="H268" s="7" t="s">
        <v>947</v>
      </c>
      <c r="I268" s="7" t="s">
        <v>948</v>
      </c>
      <c r="J268" s="7" t="s">
        <v>2593</v>
      </c>
      <c r="K268" s="7" t="s">
        <v>85</v>
      </c>
      <c r="L268" s="7" t="s">
        <v>2594</v>
      </c>
      <c r="M268" s="7" t="s">
        <v>87</v>
      </c>
      <c r="N268" s="7" t="s">
        <v>2595</v>
      </c>
      <c r="O268" s="7"/>
      <c r="P268" s="7" t="s">
        <v>106</v>
      </c>
      <c r="Q268" s="7" t="s">
        <v>988</v>
      </c>
      <c r="R268" s="7" t="s">
        <v>2596</v>
      </c>
      <c r="S268" s="7" t="s">
        <v>2597</v>
      </c>
      <c r="T268" s="7" t="s">
        <v>92</v>
      </c>
      <c r="U268" s="7"/>
      <c r="V268" s="7"/>
      <c r="W268" s="7"/>
      <c r="X268" s="7"/>
      <c r="Y268" s="7"/>
      <c r="Z268" s="7"/>
      <c r="AA268" s="7"/>
      <c r="AB268" s="7"/>
      <c r="AC268" s="8" t="s">
        <v>2598</v>
      </c>
      <c r="AD268" s="7" t="s">
        <v>2599</v>
      </c>
      <c r="AE268" s="7" t="s">
        <v>2520</v>
      </c>
      <c r="AF268" s="7"/>
      <c r="AG268" s="7" t="s">
        <v>2600</v>
      </c>
    </row>
    <row r="269" customFormat="false" ht="57.45" hidden="false" customHeight="false" outlineLevel="0" collapsed="false">
      <c r="A269" s="7" t="s">
        <v>2601</v>
      </c>
      <c r="B269" s="7" t="s">
        <v>116</v>
      </c>
      <c r="C269" s="7" t="s">
        <v>985</v>
      </c>
      <c r="D269" s="7" t="s">
        <v>98</v>
      </c>
      <c r="E269" s="7" t="s">
        <v>2602</v>
      </c>
      <c r="F269" s="7" t="s">
        <v>80</v>
      </c>
      <c r="G269" s="7" t="s">
        <v>946</v>
      </c>
      <c r="H269" s="7" t="s">
        <v>947</v>
      </c>
      <c r="I269" s="7" t="s">
        <v>948</v>
      </c>
      <c r="J269" s="7" t="s">
        <v>2603</v>
      </c>
      <c r="K269" s="7" t="s">
        <v>85</v>
      </c>
      <c r="L269" s="7" t="s">
        <v>2604</v>
      </c>
      <c r="M269" s="7" t="s">
        <v>87</v>
      </c>
      <c r="N269" s="7" t="s">
        <v>2605</v>
      </c>
      <c r="O269" s="7"/>
      <c r="P269" s="7" t="s">
        <v>106</v>
      </c>
      <c r="Q269" s="7" t="s">
        <v>988</v>
      </c>
      <c r="R269" s="7" t="s">
        <v>2606</v>
      </c>
      <c r="S269" s="7" t="s">
        <v>756</v>
      </c>
      <c r="T269" s="7" t="s">
        <v>1014</v>
      </c>
      <c r="U269" s="7"/>
      <c r="V269" s="7"/>
      <c r="W269" s="7"/>
      <c r="X269" s="7"/>
      <c r="Y269" s="7" t="s">
        <v>2607</v>
      </c>
      <c r="Z269" s="7"/>
      <c r="AA269" s="7"/>
      <c r="AB269" s="7"/>
      <c r="AC269" s="8" t="s">
        <v>2598</v>
      </c>
      <c r="AD269" s="7"/>
      <c r="AE269" s="7"/>
      <c r="AF269" s="7"/>
      <c r="AG269" s="7" t="s">
        <v>2608</v>
      </c>
    </row>
    <row r="270" customFormat="false" ht="79.85" hidden="false" customHeight="false" outlineLevel="0" collapsed="false">
      <c r="A270" s="7" t="s">
        <v>2609</v>
      </c>
      <c r="B270" s="7" t="s">
        <v>116</v>
      </c>
      <c r="C270" s="7" t="s">
        <v>985</v>
      </c>
      <c r="D270" s="7" t="s">
        <v>78</v>
      </c>
      <c r="E270" s="7" t="s">
        <v>2610</v>
      </c>
      <c r="F270" s="7" t="s">
        <v>80</v>
      </c>
      <c r="G270" s="7" t="s">
        <v>946</v>
      </c>
      <c r="H270" s="7" t="s">
        <v>947</v>
      </c>
      <c r="I270" s="7" t="s">
        <v>948</v>
      </c>
      <c r="J270" s="7" t="s">
        <v>2611</v>
      </c>
      <c r="K270" s="7" t="s">
        <v>85</v>
      </c>
      <c r="L270" s="7" t="s">
        <v>2612</v>
      </c>
      <c r="M270" s="7" t="s">
        <v>2613</v>
      </c>
      <c r="N270" s="7"/>
      <c r="O270" s="7" t="s">
        <v>2614</v>
      </c>
      <c r="P270" s="7" t="s">
        <v>2615</v>
      </c>
      <c r="Q270" s="7" t="s">
        <v>2616</v>
      </c>
      <c r="R270" s="7" t="s">
        <v>2617</v>
      </c>
      <c r="S270" s="7"/>
      <c r="T270" s="7" t="s">
        <v>1014</v>
      </c>
      <c r="U270" s="7"/>
      <c r="V270" s="7"/>
      <c r="W270" s="7"/>
      <c r="X270" s="7"/>
      <c r="Y270" s="7" t="s">
        <v>2618</v>
      </c>
      <c r="Z270" s="7"/>
      <c r="AA270" s="7"/>
      <c r="AB270" s="7" t="s">
        <v>2619</v>
      </c>
      <c r="AC270" s="8" t="s">
        <v>2620</v>
      </c>
      <c r="AD270" s="7" t="s">
        <v>2621</v>
      </c>
      <c r="AE270" s="7" t="s">
        <v>2622</v>
      </c>
      <c r="AF270" s="7"/>
      <c r="AG270" s="7" t="s">
        <v>2623</v>
      </c>
    </row>
    <row r="271" customFormat="false" ht="46.25" hidden="false" customHeight="false" outlineLevel="0" collapsed="false">
      <c r="A271" s="7" t="s">
        <v>944</v>
      </c>
      <c r="B271" s="7" t="s">
        <v>811</v>
      </c>
      <c r="C271" s="7" t="s">
        <v>141</v>
      </c>
      <c r="D271" s="7" t="s">
        <v>98</v>
      </c>
      <c r="E271" s="7" t="s">
        <v>945</v>
      </c>
      <c r="F271" s="7" t="s">
        <v>80</v>
      </c>
      <c r="G271" s="7" t="s">
        <v>946</v>
      </c>
      <c r="H271" s="7" t="s">
        <v>947</v>
      </c>
      <c r="I271" s="7" t="s">
        <v>948</v>
      </c>
      <c r="J271" s="7"/>
      <c r="K271" s="7" t="s">
        <v>85</v>
      </c>
      <c r="L271" s="7" t="s">
        <v>105</v>
      </c>
      <c r="M271" s="7" t="s">
        <v>87</v>
      </c>
      <c r="N271" s="7"/>
      <c r="O271" s="7"/>
      <c r="P271" s="7" t="s">
        <v>106</v>
      </c>
      <c r="Q271" s="7" t="s">
        <v>144</v>
      </c>
      <c r="R271" s="7" t="s">
        <v>949</v>
      </c>
      <c r="S271" s="7" t="s">
        <v>950</v>
      </c>
      <c r="T271" s="7" t="s">
        <v>109</v>
      </c>
      <c r="U271" s="7" t="s">
        <v>951</v>
      </c>
      <c r="V271" s="8" t="s">
        <v>952</v>
      </c>
      <c r="W271" s="7"/>
      <c r="X271" s="7"/>
      <c r="Y271" s="7"/>
      <c r="Z271" s="7"/>
      <c r="AA271" s="7"/>
      <c r="AB271" s="7"/>
      <c r="AC271" s="8" t="s">
        <v>952</v>
      </c>
      <c r="AD271" s="7" t="s">
        <v>953</v>
      </c>
      <c r="AE271" s="7"/>
      <c r="AF271" s="7"/>
      <c r="AG271" s="7" t="s">
        <v>96</v>
      </c>
    </row>
    <row r="272" customFormat="false" ht="35.05" hidden="false" customHeight="false" outlineLevel="0" collapsed="false">
      <c r="A272" s="7" t="s">
        <v>2624</v>
      </c>
      <c r="B272" s="7" t="s">
        <v>116</v>
      </c>
      <c r="C272" s="7" t="s">
        <v>985</v>
      </c>
      <c r="D272" s="7" t="s">
        <v>98</v>
      </c>
      <c r="E272" s="7" t="s">
        <v>2625</v>
      </c>
      <c r="F272" s="7" t="s">
        <v>80</v>
      </c>
      <c r="G272" s="7" t="s">
        <v>946</v>
      </c>
      <c r="H272" s="7" t="s">
        <v>2626</v>
      </c>
      <c r="I272" s="7" t="s">
        <v>2627</v>
      </c>
      <c r="J272" s="7" t="s">
        <v>2628</v>
      </c>
      <c r="K272" s="7" t="s">
        <v>85</v>
      </c>
      <c r="L272" s="7" t="s">
        <v>2629</v>
      </c>
      <c r="M272" s="7" t="s">
        <v>87</v>
      </c>
      <c r="N272" s="7" t="s">
        <v>2630</v>
      </c>
      <c r="O272" s="7"/>
      <c r="P272" s="7" t="s">
        <v>106</v>
      </c>
      <c r="Q272" s="7" t="s">
        <v>2631</v>
      </c>
      <c r="R272" s="7" t="s">
        <v>2632</v>
      </c>
      <c r="S272" s="7"/>
      <c r="T272" s="7" t="s">
        <v>92</v>
      </c>
      <c r="U272" s="7"/>
      <c r="V272" s="7"/>
      <c r="W272" s="7"/>
      <c r="X272" s="7"/>
      <c r="Y272" s="7"/>
      <c r="Z272" s="7"/>
      <c r="AA272" s="7"/>
      <c r="AB272" s="7" t="s">
        <v>2633</v>
      </c>
      <c r="AC272" s="8" t="s">
        <v>2634</v>
      </c>
      <c r="AD272" s="7"/>
      <c r="AE272" s="7"/>
      <c r="AF272" s="7"/>
      <c r="AG272" s="7" t="s">
        <v>2635</v>
      </c>
    </row>
    <row r="273" customFormat="false" ht="57.45" hidden="false" customHeight="false" outlineLevel="0" collapsed="false">
      <c r="A273" s="7" t="s">
        <v>2636</v>
      </c>
      <c r="B273" s="7" t="s">
        <v>116</v>
      </c>
      <c r="C273" s="7" t="s">
        <v>985</v>
      </c>
      <c r="D273" s="7" t="s">
        <v>98</v>
      </c>
      <c r="E273" s="7" t="s">
        <v>2637</v>
      </c>
      <c r="F273" s="7" t="s">
        <v>80</v>
      </c>
      <c r="G273" s="7" t="s">
        <v>946</v>
      </c>
      <c r="H273" s="7" t="s">
        <v>2626</v>
      </c>
      <c r="I273" s="7" t="s">
        <v>2627</v>
      </c>
      <c r="J273" s="7" t="s">
        <v>2638</v>
      </c>
      <c r="K273" s="7" t="s">
        <v>85</v>
      </c>
      <c r="L273" s="7" t="s">
        <v>2639</v>
      </c>
      <c r="M273" s="7" t="s">
        <v>87</v>
      </c>
      <c r="N273" s="7"/>
      <c r="O273" s="7"/>
      <c r="P273" s="7" t="s">
        <v>106</v>
      </c>
      <c r="Q273" s="7" t="s">
        <v>2640</v>
      </c>
      <c r="R273" s="7" t="s">
        <v>2641</v>
      </c>
      <c r="S273" s="7" t="s">
        <v>2642</v>
      </c>
      <c r="T273" s="7" t="s">
        <v>189</v>
      </c>
      <c r="U273" s="7"/>
      <c r="V273" s="7"/>
      <c r="W273" s="8" t="s">
        <v>2643</v>
      </c>
      <c r="X273" s="7"/>
      <c r="Y273" s="7"/>
      <c r="Z273" s="7"/>
      <c r="AA273" s="7"/>
      <c r="AB273" s="7"/>
      <c r="AC273" s="8" t="s">
        <v>2644</v>
      </c>
      <c r="AD273" s="7" t="s">
        <v>2645</v>
      </c>
      <c r="AE273" s="7" t="s">
        <v>2646</v>
      </c>
      <c r="AF273" s="7"/>
      <c r="AG273" s="7" t="s">
        <v>2647</v>
      </c>
    </row>
    <row r="274" customFormat="false" ht="35.05" hidden="false" customHeight="false" outlineLevel="0" collapsed="false">
      <c r="A274" s="7" t="s">
        <v>2648</v>
      </c>
      <c r="B274" s="7" t="s">
        <v>116</v>
      </c>
      <c r="C274" s="7" t="s">
        <v>985</v>
      </c>
      <c r="D274" s="7" t="s">
        <v>78</v>
      </c>
      <c r="E274" s="7" t="s">
        <v>2649</v>
      </c>
      <c r="F274" s="7" t="s">
        <v>80</v>
      </c>
      <c r="G274" s="7" t="s">
        <v>946</v>
      </c>
      <c r="H274" s="7" t="s">
        <v>2650</v>
      </c>
      <c r="I274" s="7" t="s">
        <v>2651</v>
      </c>
      <c r="J274" s="7"/>
      <c r="K274" s="7" t="s">
        <v>85</v>
      </c>
      <c r="L274" s="7" t="s">
        <v>105</v>
      </c>
      <c r="M274" s="7" t="s">
        <v>87</v>
      </c>
      <c r="N274" s="7"/>
      <c r="O274" s="7"/>
      <c r="P274" s="7" t="s">
        <v>88</v>
      </c>
      <c r="Q274" s="7" t="s">
        <v>988</v>
      </c>
      <c r="R274" s="7" t="s">
        <v>2652</v>
      </c>
      <c r="S274" s="7" t="s">
        <v>2653</v>
      </c>
      <c r="T274" s="7" t="s">
        <v>109</v>
      </c>
      <c r="U274" s="7" t="s">
        <v>2654</v>
      </c>
      <c r="V274" s="8" t="s">
        <v>2655</v>
      </c>
      <c r="W274" s="7"/>
      <c r="X274" s="7"/>
      <c r="Y274" s="7"/>
      <c r="Z274" s="7"/>
      <c r="AA274" s="7"/>
      <c r="AB274" s="7"/>
      <c r="AC274" s="8" t="s">
        <v>2655</v>
      </c>
      <c r="AD274" s="7" t="s">
        <v>177</v>
      </c>
      <c r="AE274" s="7"/>
      <c r="AF274" s="7"/>
      <c r="AG274" s="7" t="s">
        <v>96</v>
      </c>
    </row>
    <row r="275" customFormat="false" ht="68.65" hidden="false" customHeight="false" outlineLevel="0" collapsed="false">
      <c r="A275" s="7" t="s">
        <v>2656</v>
      </c>
      <c r="B275" s="7" t="s">
        <v>116</v>
      </c>
      <c r="C275" s="7" t="s">
        <v>985</v>
      </c>
      <c r="D275" s="7" t="s">
        <v>78</v>
      </c>
      <c r="E275" s="7" t="s">
        <v>2657</v>
      </c>
      <c r="F275" s="7" t="s">
        <v>80</v>
      </c>
      <c r="G275" s="7" t="s">
        <v>946</v>
      </c>
      <c r="H275" s="7" t="s">
        <v>2650</v>
      </c>
      <c r="I275" s="7" t="s">
        <v>2651</v>
      </c>
      <c r="J275" s="7"/>
      <c r="K275" s="7" t="s">
        <v>85</v>
      </c>
      <c r="L275" s="7" t="s">
        <v>105</v>
      </c>
      <c r="M275" s="7" t="s">
        <v>87</v>
      </c>
      <c r="N275" s="7"/>
      <c r="O275" s="7"/>
      <c r="P275" s="7" t="s">
        <v>88</v>
      </c>
      <c r="Q275" s="7" t="s">
        <v>988</v>
      </c>
      <c r="R275" s="7" t="s">
        <v>2658</v>
      </c>
      <c r="S275" s="7" t="s">
        <v>2659</v>
      </c>
      <c r="T275" s="7" t="s">
        <v>92</v>
      </c>
      <c r="U275" s="7"/>
      <c r="V275" s="7"/>
      <c r="W275" s="7"/>
      <c r="X275" s="7"/>
      <c r="Y275" s="7"/>
      <c r="Z275" s="7"/>
      <c r="AA275" s="7"/>
      <c r="AB275" s="7"/>
      <c r="AC275" s="8" t="s">
        <v>2660</v>
      </c>
      <c r="AD275" s="7" t="s">
        <v>2661</v>
      </c>
      <c r="AE275" s="7" t="s">
        <v>2662</v>
      </c>
      <c r="AF275" s="7"/>
      <c r="AG275" s="7" t="s">
        <v>2663</v>
      </c>
    </row>
    <row r="276" customFormat="false" ht="57.45" hidden="false" customHeight="false" outlineLevel="0" collapsed="false">
      <c r="A276" s="7" t="s">
        <v>2664</v>
      </c>
      <c r="B276" s="7" t="s">
        <v>811</v>
      </c>
      <c r="C276" s="7" t="s">
        <v>985</v>
      </c>
      <c r="D276" s="7" t="s">
        <v>98</v>
      </c>
      <c r="E276" s="7" t="s">
        <v>2665</v>
      </c>
      <c r="F276" s="7" t="s">
        <v>257</v>
      </c>
      <c r="G276" s="7" t="s">
        <v>946</v>
      </c>
      <c r="H276" s="7" t="s">
        <v>2650</v>
      </c>
      <c r="I276" s="7" t="s">
        <v>2651</v>
      </c>
      <c r="J276" s="7" t="s">
        <v>2666</v>
      </c>
      <c r="K276" s="7" t="s">
        <v>85</v>
      </c>
      <c r="L276" s="7" t="s">
        <v>2667</v>
      </c>
      <c r="M276" s="7" t="s">
        <v>87</v>
      </c>
      <c r="N276" s="7"/>
      <c r="O276" s="7"/>
      <c r="P276" s="7" t="s">
        <v>106</v>
      </c>
      <c r="Q276" s="7" t="s">
        <v>988</v>
      </c>
      <c r="R276" s="7" t="s">
        <v>2668</v>
      </c>
      <c r="S276" s="7" t="s">
        <v>756</v>
      </c>
      <c r="T276" s="7" t="s">
        <v>109</v>
      </c>
      <c r="U276" s="7" t="s">
        <v>2669</v>
      </c>
      <c r="V276" s="8" t="s">
        <v>2670</v>
      </c>
      <c r="W276" s="7"/>
      <c r="X276" s="7"/>
      <c r="Y276" s="7"/>
      <c r="Z276" s="7"/>
      <c r="AA276" s="7"/>
      <c r="AB276" s="7"/>
      <c r="AC276" s="8" t="s">
        <v>2670</v>
      </c>
      <c r="AD276" s="7"/>
      <c r="AE276" s="7" t="s">
        <v>2671</v>
      </c>
      <c r="AF276" s="7"/>
      <c r="AG276" s="7" t="s">
        <v>2672</v>
      </c>
    </row>
    <row r="277" customFormat="false" ht="35.05" hidden="false" customHeight="false" outlineLevel="0" collapsed="false">
      <c r="A277" s="7" t="s">
        <v>2673</v>
      </c>
      <c r="B277" s="7" t="s">
        <v>811</v>
      </c>
      <c r="C277" s="7" t="s">
        <v>985</v>
      </c>
      <c r="D277" s="7" t="s">
        <v>98</v>
      </c>
      <c r="E277" s="7" t="s">
        <v>2674</v>
      </c>
      <c r="F277" s="7" t="s">
        <v>80</v>
      </c>
      <c r="G277" s="7" t="s">
        <v>946</v>
      </c>
      <c r="H277" s="7" t="s">
        <v>2675</v>
      </c>
      <c r="I277" s="7" t="s">
        <v>2676</v>
      </c>
      <c r="J277" s="7" t="s">
        <v>2677</v>
      </c>
      <c r="K277" s="7" t="s">
        <v>85</v>
      </c>
      <c r="L277" s="7" t="s">
        <v>105</v>
      </c>
      <c r="M277" s="7" t="s">
        <v>87</v>
      </c>
      <c r="N277" s="7"/>
      <c r="O277" s="7"/>
      <c r="P277" s="7" t="s">
        <v>106</v>
      </c>
      <c r="Q277" s="7" t="s">
        <v>988</v>
      </c>
      <c r="R277" s="7" t="s">
        <v>2678</v>
      </c>
      <c r="S277" s="7" t="s">
        <v>2679</v>
      </c>
      <c r="T277" s="7" t="s">
        <v>109</v>
      </c>
      <c r="U277" s="7" t="s">
        <v>2680</v>
      </c>
      <c r="V277" s="8" t="s">
        <v>2681</v>
      </c>
      <c r="W277" s="7"/>
      <c r="X277" s="7"/>
      <c r="Y277" s="7"/>
      <c r="Z277" s="7"/>
      <c r="AA277" s="7"/>
      <c r="AB277" s="7"/>
      <c r="AC277" s="8" t="s">
        <v>2681</v>
      </c>
      <c r="AD277" s="7" t="s">
        <v>2682</v>
      </c>
      <c r="AE277" s="7"/>
      <c r="AF277" s="7"/>
      <c r="AG277" s="7" t="s">
        <v>270</v>
      </c>
    </row>
    <row r="278" customFormat="false" ht="35.05" hidden="false" customHeight="false" outlineLevel="0" collapsed="false">
      <c r="A278" s="7" t="s">
        <v>2683</v>
      </c>
      <c r="B278" s="7" t="s">
        <v>116</v>
      </c>
      <c r="C278" s="7" t="s">
        <v>985</v>
      </c>
      <c r="D278" s="7" t="s">
        <v>78</v>
      </c>
      <c r="E278" s="7" t="s">
        <v>2684</v>
      </c>
      <c r="F278" s="7" t="s">
        <v>80</v>
      </c>
      <c r="G278" s="7" t="s">
        <v>946</v>
      </c>
      <c r="H278" s="7" t="s">
        <v>2685</v>
      </c>
      <c r="I278" s="7" t="s">
        <v>2686</v>
      </c>
      <c r="J278" s="7" t="s">
        <v>2687</v>
      </c>
      <c r="K278" s="7" t="s">
        <v>85</v>
      </c>
      <c r="L278" s="7" t="s">
        <v>2688</v>
      </c>
      <c r="M278" s="7" t="s">
        <v>87</v>
      </c>
      <c r="N278" s="7"/>
      <c r="O278" s="7"/>
      <c r="P278" s="7" t="s">
        <v>88</v>
      </c>
      <c r="Q278" s="7" t="s">
        <v>988</v>
      </c>
      <c r="R278" s="7" t="s">
        <v>2689</v>
      </c>
      <c r="S278" s="7"/>
      <c r="T278" s="7" t="s">
        <v>92</v>
      </c>
      <c r="U278" s="7"/>
      <c r="V278" s="7"/>
      <c r="W278" s="7"/>
      <c r="X278" s="7"/>
      <c r="Y278" s="7"/>
      <c r="Z278" s="7"/>
      <c r="AA278" s="7"/>
      <c r="AB278" s="7"/>
      <c r="AC278" s="8" t="s">
        <v>2690</v>
      </c>
      <c r="AD278" s="7"/>
      <c r="AE278" s="7" t="s">
        <v>2691</v>
      </c>
      <c r="AF278" s="7"/>
      <c r="AG278" s="7" t="s">
        <v>2692</v>
      </c>
    </row>
    <row r="279" customFormat="false" ht="35.05" hidden="false" customHeight="false" outlineLevel="0" collapsed="false">
      <c r="A279" s="7" t="s">
        <v>2693</v>
      </c>
      <c r="B279" s="7" t="s">
        <v>811</v>
      </c>
      <c r="C279" s="7" t="s">
        <v>985</v>
      </c>
      <c r="D279" s="7" t="s">
        <v>98</v>
      </c>
      <c r="E279" s="7" t="s">
        <v>2694</v>
      </c>
      <c r="F279" s="7" t="s">
        <v>80</v>
      </c>
      <c r="G279" s="7" t="s">
        <v>946</v>
      </c>
      <c r="H279" s="7" t="s">
        <v>2685</v>
      </c>
      <c r="I279" s="7" t="s">
        <v>2686</v>
      </c>
      <c r="J279" s="7"/>
      <c r="K279" s="7" t="s">
        <v>85</v>
      </c>
      <c r="L279" s="7" t="s">
        <v>105</v>
      </c>
      <c r="M279" s="7" t="s">
        <v>87</v>
      </c>
      <c r="N279" s="7"/>
      <c r="O279" s="7"/>
      <c r="P279" s="7" t="s">
        <v>106</v>
      </c>
      <c r="Q279" s="7" t="s">
        <v>988</v>
      </c>
      <c r="R279" s="7" t="s">
        <v>2695</v>
      </c>
      <c r="S279" s="7"/>
      <c r="T279" s="7" t="s">
        <v>109</v>
      </c>
      <c r="U279" s="7" t="s">
        <v>2696</v>
      </c>
      <c r="V279" s="8" t="s">
        <v>2697</v>
      </c>
      <c r="W279" s="7"/>
      <c r="X279" s="7"/>
      <c r="Y279" s="7"/>
      <c r="Z279" s="7"/>
      <c r="AA279" s="7"/>
      <c r="AB279" s="7"/>
      <c r="AC279" s="8" t="s">
        <v>2697</v>
      </c>
      <c r="AD279" s="7" t="s">
        <v>177</v>
      </c>
      <c r="AE279" s="7" t="s">
        <v>2698</v>
      </c>
      <c r="AF279" s="7"/>
      <c r="AG279" s="7" t="s">
        <v>2699</v>
      </c>
    </row>
    <row r="280" customFormat="false" ht="35.05" hidden="false" customHeight="false" outlineLevel="0" collapsed="false">
      <c r="A280" s="7" t="s">
        <v>2700</v>
      </c>
      <c r="B280" s="7" t="s">
        <v>811</v>
      </c>
      <c r="C280" s="7" t="s">
        <v>985</v>
      </c>
      <c r="D280" s="7" t="s">
        <v>98</v>
      </c>
      <c r="E280" s="7" t="s">
        <v>2701</v>
      </c>
      <c r="F280" s="7" t="s">
        <v>80</v>
      </c>
      <c r="G280" s="7" t="s">
        <v>946</v>
      </c>
      <c r="H280" s="7" t="s">
        <v>2702</v>
      </c>
      <c r="I280" s="7" t="s">
        <v>2703</v>
      </c>
      <c r="J280" s="7" t="s">
        <v>2704</v>
      </c>
      <c r="K280" s="7" t="s">
        <v>85</v>
      </c>
      <c r="L280" s="7" t="s">
        <v>2705</v>
      </c>
      <c r="M280" s="7" t="s">
        <v>87</v>
      </c>
      <c r="N280" s="7"/>
      <c r="O280" s="7"/>
      <c r="P280" s="7" t="s">
        <v>106</v>
      </c>
      <c r="Q280" s="7" t="s">
        <v>988</v>
      </c>
      <c r="R280" s="7" t="s">
        <v>2706</v>
      </c>
      <c r="S280" s="7"/>
      <c r="T280" s="7" t="s">
        <v>109</v>
      </c>
      <c r="U280" s="7" t="s">
        <v>2707</v>
      </c>
      <c r="V280" s="8" t="s">
        <v>2708</v>
      </c>
      <c r="W280" s="7"/>
      <c r="X280" s="7"/>
      <c r="Y280" s="7" t="s">
        <v>2709</v>
      </c>
      <c r="Z280" s="7"/>
      <c r="AA280" s="7"/>
      <c r="AB280" s="7" t="s">
        <v>2710</v>
      </c>
      <c r="AC280" s="8" t="s">
        <v>2708</v>
      </c>
      <c r="AD280" s="7"/>
      <c r="AE280" s="7"/>
      <c r="AF280" s="7"/>
      <c r="AG280" s="7" t="s">
        <v>2711</v>
      </c>
    </row>
    <row r="281" customFormat="false" ht="35.05" hidden="false" customHeight="false" outlineLevel="0" collapsed="false">
      <c r="A281" s="7" t="s">
        <v>2712</v>
      </c>
      <c r="B281" s="7" t="s">
        <v>811</v>
      </c>
      <c r="C281" s="7" t="s">
        <v>985</v>
      </c>
      <c r="D281" s="7" t="s">
        <v>98</v>
      </c>
      <c r="E281" s="7" t="s">
        <v>2713</v>
      </c>
      <c r="F281" s="7" t="s">
        <v>80</v>
      </c>
      <c r="G281" s="7" t="s">
        <v>946</v>
      </c>
      <c r="H281" s="7" t="s">
        <v>2714</v>
      </c>
      <c r="I281" s="7" t="s">
        <v>2715</v>
      </c>
      <c r="J281" s="7" t="s">
        <v>2716</v>
      </c>
      <c r="K281" s="7" t="s">
        <v>85</v>
      </c>
      <c r="L281" s="7" t="s">
        <v>2717</v>
      </c>
      <c r="M281" s="7" t="s">
        <v>87</v>
      </c>
      <c r="N281" s="7"/>
      <c r="O281" s="7"/>
      <c r="P281" s="7" t="s">
        <v>106</v>
      </c>
      <c r="Q281" s="7" t="s">
        <v>988</v>
      </c>
      <c r="R281" s="7" t="s">
        <v>2718</v>
      </c>
      <c r="S281" s="7"/>
      <c r="T281" s="7" t="s">
        <v>109</v>
      </c>
      <c r="U281" s="7" t="s">
        <v>2719</v>
      </c>
      <c r="V281" s="8" t="s">
        <v>2720</v>
      </c>
      <c r="W281" s="7"/>
      <c r="X281" s="7"/>
      <c r="Y281" s="7" t="s">
        <v>2721</v>
      </c>
      <c r="Z281" s="7"/>
      <c r="AA281" s="7"/>
      <c r="AB281" s="7"/>
      <c r="AC281" s="8" t="s">
        <v>2720</v>
      </c>
      <c r="AD281" s="7" t="s">
        <v>2722</v>
      </c>
      <c r="AE281" s="7"/>
      <c r="AF281" s="7"/>
      <c r="AG281" s="7" t="s">
        <v>767</v>
      </c>
    </row>
  </sheetData>
  <autoFilter ref="A1:AG281"/>
  <conditionalFormatting sqref="A2:AG281">
    <cfRule type="expression" priority="2" aboveAverage="0" equalAverage="0" bottom="0" percent="0" rank="0" text="" dxfId="7">
      <formula>$C2="Upcoming / Coming soon"</formula>
    </cfRule>
    <cfRule type="expression" priority="3" aboveAverage="0" equalAverage="0" bottom="0" percent="0" rank="0" text="" dxfId="8">
      <formula>$B2="A"</formula>
    </cfRule>
  </conditionalFormatting>
  <conditionalFormatting sqref="D2:D281">
    <cfRule type="expression" priority="4" aboveAverage="0" equalAverage="0" bottom="0" percent="0" rank="0" text="" dxfId="9">
      <formula>$D2="Premium"</formula>
    </cfRule>
  </conditionalFormatting>
  <hyperlinks>
    <hyperlink ref="V2" r:id="rId1" display="https://www.instagram.com/linzz.csn/"/>
    <hyperlink ref="AC2" r:id="rId2" display="https://www.instagram.com/linzz.csn/"/>
    <hyperlink ref="W3" r:id="rId3" display="http://www.esspressoh.com/"/>
    <hyperlink ref="AC3" r:id="rId4" display="http://esspressoh.com/about-us/"/>
    <hyperlink ref="V4" r:id="rId5" display="https://www.instagram.com/nomeatnaan_bakery/"/>
    <hyperlink ref="AC4" r:id="rId6" display="https://www.instagram.com/nomeatnaan_bakery/"/>
    <hyperlink ref="W5" r:id="rId7" display="https://www.coffeesanskruti.com/"/>
    <hyperlink ref="AC5" r:id="rId8" display="https://www.coffeesanskruti.com/"/>
    <hyperlink ref="V6" r:id="rId9" display="https://www.instagram.com/graindecafe_kolhapur/"/>
    <hyperlink ref="AC6" r:id="rId10" display="https://www.instagram.com/graindecafe_kolhapur/"/>
    <hyperlink ref="V7" r:id="rId11" display="https://www.instagram.com/the.treaat.coffee_kolhapur/"/>
    <hyperlink ref="AC7" r:id="rId12" display="https://www.instagram.com/the.treaat.coffee_kolhapur/"/>
    <hyperlink ref="AC8" r:id="rId13" display="https://www.restaurantindia.in/news/restaurant-india-news-brev-opens-new-flagship-caf-in-bandra-expands-community-focused-coffee-concept.n16397"/>
    <hyperlink ref="V9" r:id="rId14" display="https://www.instagram.com/cocoaandkatli/"/>
    <hyperlink ref="AC9" r:id="rId15" display="https://aninews.in/news/business/harsh-kedia-and-arihant-jain-launch-cocoa-amp-katli-a-caf233-that-redefines-mindful-indulgence-for-the-conscious-mumbaikar20261021121947/"/>
    <hyperlink ref="AC10" r:id="rId16" display="https://www.restaurantindia.in/news/restaurant-india-news-javaphile-caf-opens-in-worli-mumbai.n14931"/>
    <hyperlink ref="AC11" r:id="rId17" display="https://foodiesofindia.wordpress.com/2026/04/02/20-new-restaurants-in-mumbai-to-check-out-april-2026/"/>
    <hyperlink ref="AC12" r:id="rId18" display="https://indianretailer.com/news/rola-opens-new-all-day-diner-bandra"/>
    <hyperlink ref="V14" r:id="rId19" display="https://www.instagram.com/coffeecapital__/"/>
    <hyperlink ref="AC14" r:id="rId20" display="https://www.restaurantindia.in/news/restaurant-india-news-coffee-capital-launches-in-mumbai-with-34-cover-speciality-caf-format.n15399"/>
    <hyperlink ref="AC15" r:id="rId21" display="https://foodiesofindia.wordpress.com/2025/11/03/25-new-restaurants-cafes-in-mumbai-you-need-to-try-this-november-2025/"/>
    <hyperlink ref="AC16" r:id="rId22" display="https://foodiesofindia.wordpress.com/2026/03/01/new-restaurants-in-mumbai-march-2026-round-up-25-new-openings/"/>
    <hyperlink ref="AC17" r:id="rId23" display="https://foodiesofindia.wordpress.com/2026/08/04/new-restaurants-cafes-in-mumbai-august-2026/"/>
    <hyperlink ref="W18" r:id="rId24" display="https://aspecthospitality.in"/>
    <hyperlink ref="AC18" r:id="rId25" display="https://www.restaurantindia.in/news/aspect-hospitality-expands-fb-portfolio-with-joker-in-bandra.n16905"/>
    <hyperlink ref="AC19" r:id="rId26" display="https://www.localspecialtycoffee.com/cities/specialty-coffee-mumbai/single-origin"/>
    <hyperlink ref="V20" r:id="rId27" display="https://www.instagram.com/kink.coffee/"/>
    <hyperlink ref="AC20" r:id="rId28" display="https://foodiesofindia.wordpress.com/2026/01/15/january-2026-30-new-restaurants-cafes-in-mumbai-you-need-to-check-out/"/>
    <hyperlink ref="AC21" r:id="rId29" display="https://foodiesofindia.wordpress.com/2026/08/04/new-restaurants-cafes-in-mumbai-august-2026/"/>
    <hyperlink ref="AC22" r:id="rId30" display="https://foodiesofindia.wordpress.com/2026/04/02/20-new-restaurants-in-mumbai-to-check-out-april-2026/"/>
    <hyperlink ref="V23" r:id="rId31" display="https://www.instagram.com/standbycoffee__/"/>
    <hyperlink ref="AC23" r:id="rId32" display="https://indianretailer.com/news/stand-coffee-expands-mumbai-footprint-new-juhu-outlet"/>
    <hyperlink ref="AC24" r:id="rId33" display="https://www.restaurantindia.in/news/thought-coffee-opens-bandra-flagship-as-mumbai-quick-service-coffee-market-expands.n17296"/>
    <hyperlink ref="AC25" r:id="rId34" display="https://foodiesofindia.wordpress.com/2026/06/01/june-2026-new-restaurants-in-mumbai-you-need-to-visit/"/>
    <hyperlink ref="AC26" r:id="rId35" display="https://foodiesofindia.wordpress.com/2025/10/01/25-new-restaurants-cafes-to-check-out-in-mumbai-this-october-2025/"/>
    <hyperlink ref="AC27" r:id="rId36" display="https://www.indianretailer.com/news/cafe-quattro-opens-second-mumbai-cafe-mumbai"/>
    <hyperlink ref="AC28" r:id="rId37" display="https://www.mansworldindia.com/lifestyle/mw-restaurant-update-every-place-you-need-to-check-out-in-mumbai-right-now"/>
    <hyperlink ref="AC29" r:id="rId38" display="https://foodiesofindia.wordpress.com/2026/01/15/january-2026-30-new-restaurants-cafes-in-mumbai-you-need-to-check-out/"/>
    <hyperlink ref="AC30" r:id="rId39" display="https://www.glassdoor.co.in/Job/mumbai-barista-jobs-SRCH_IL.0,6_IC2851180_KO7,14.htm"/>
    <hyperlink ref="AC31" r:id="rId40" display="https://www.esquireindia.co.in/food-and-drinks/what-to-eat/from-rola-to-the-mahjong-club-9-new-restaurants-and-caf%C3%A9s-in-mumbai-to-try-this-september"/>
    <hyperlink ref="AC32" r:id="rId41" display="https://foodiesofindia.wordpress.com/2026/02/01/february-2026-new-restaurants-in-mumbai-you-need-to-try/"/>
    <hyperlink ref="V33" r:id="rId42" display="https://www.instagram.com/mazicoffee/"/>
    <hyperlink ref="AC33" r:id="rId43" display="https://www.instagram.com/mazicoffee/"/>
    <hyperlink ref="AC34" r:id="rId44" display="https://www.district.in/blog/speciality-coffee-spots-mumbai"/>
    <hyperlink ref="V35" r:id="rId45" display="https://www.instagram.com/mumbaiblondie/"/>
    <hyperlink ref="AC35" r:id="rId46" display="https://www.restaurantindia.in/news/bastian-hospitality-enters-coffee-space-with-blondie.n12554"/>
    <hyperlink ref="AC36" r:id="rId47" display="https://www.restaurantindia.in/news/notfar-opens-in-bandra-with-specialty-cookies-cupcakes-and-coffee.n16686"/>
    <hyperlink ref="V37" r:id="rId48" display="https://www.instagram.com/namah.mumbai/"/>
    <hyperlink ref="AC37" r:id="rId49" display="https://foodiesofindia.wordpress.com/2026/06/01/june-2026-new-restaurants-in-mumbai-you-need-to-visit/"/>
    <hyperlink ref="AC38" r:id="rId50" display="https://www.thestylelist.in/post/new-restaurants-cafes-bars-india"/>
    <hyperlink ref="AC39" r:id="rId51" display="https://foodiesofindia.wordpress.com/tag/new-restaurants-in-mumbai/"/>
    <hyperlink ref="AC40" r:id="rId52" display="https://www.esquireindia.co.in/food-and-drinks/what-to-eat/from-rola-to-the-mahjong-club-9-new-restaurants-and-caf%C3%A9s-in-mumbai-to-try-this-september"/>
    <hyperlink ref="AC41" r:id="rId53" display="https://www.thestylelist.in/post/new-restaurants-cafes-bars-india"/>
    <hyperlink ref="AC42" r:id="rId54" display="https://www.restaurantindia.in/news/vanilla-miel-opens-second-mumbai-caf-at-lodha-signet-lower-parel.n17346"/>
    <hyperlink ref="AC43" r:id="rId55" display="https://www.timeout.com/mumbai/news/boojee-cafe-is-opening-a-new-outlet-at-one-bkc-in-mumbai-082026"/>
    <hyperlink ref="AC44" r:id="rId56" display="https://mumbaicoffeecollective.com/pages/specialty-coffee-mumbai"/>
    <hyperlink ref="V45" r:id="rId57" display="https://www.instagram.com/sheltercafe.mumbai/"/>
    <hyperlink ref="AC45" r:id="rId58" display="https://www.instagram.com/sheltercafe.mumbai/"/>
    <hyperlink ref="V46" r:id="rId59" display="https://www.instagram.com/thebrewcafemumbai/"/>
    <hyperlink ref="AC46" r:id="rId60" display="https://www.instagram.com/thebrewcafemumbai/"/>
    <hyperlink ref="V47" r:id="rId61" display="https://www.instagram.com/bokkacoffeemumbai/"/>
    <hyperlink ref="AC47" r:id="rId62" display="https://www.instagram.com/bokkacoffeemumbai/"/>
    <hyperlink ref="AC48" r:id="rId63" display="https://foodiesofindia.wordpress.com/2026/08/04/new-restaurants-cafes-in-mumbai-august-2026/"/>
    <hyperlink ref="AC49" r:id="rId64" display="https://foodiesofindia.wordpress.com/2026/02/01/february-2026-new-restaurants-in-mumbai-you-need-to-try/"/>
    <hyperlink ref="AC50" r:id="rId65" display="https://foodiesofindia.wordpress.com/2025/10/01/25-new-restaurants-cafes-to-check-out-in-mumbai-this-october-2025/"/>
    <hyperlink ref="V51" r:id="rId66" display="https://www.instagram.com/cafeessence.mulund/"/>
    <hyperlink ref="AC51" r:id="rId67" display="https://www.instagram.com/cafeessence.mulund/"/>
    <hyperlink ref="AC52" r:id="rId68" display="https://foodiesofindia.wordpress.com/2026/07/01/new-restaurants-in-mumbai-july-2026-roundup/"/>
    <hyperlink ref="AC53" r:id="rId69" display="https://foodiesofindia.wordpress.com/2026/08/04/new-restaurants-cafes-in-mumbai-august-2026/"/>
    <hyperlink ref="AC54" r:id="rId70" display="https://www.restaurantindia.in/news/greenr-opens-12th-outlet-in-mumbai-s-goregaon-as-plant-based-chain-expands.n17065"/>
    <hyperlink ref="AC55" r:id="rId71" display="https://theculturetrip.com/asia/india/articles/the-best-coffee-shops-in-mumbai"/>
    <hyperlink ref="AC56" r:id="rId72" display="https://curlytales.com/india/food/new-mumbai-restaurants-in-october-youll-want-to-tell-your-friends-about/"/>
    <hyperlink ref="AC57" r:id="rId73" display="https://www.timeout.com/mumbai/news/angry-toast-bandras-new-sandwich-shop-has-its-own-coffee-roastery-071626"/>
    <hyperlink ref="AC58" r:id="rId74" display="https://www.nagpurtoday.in/best-cafes-in-nagpur-2026-our-independent-ranking-based-on-reviews-coffee-quality-ambience-customer-experience/"/>
    <hyperlink ref="V59" r:id="rId75" display="https://www.instagram.com/oros_india/"/>
    <hyperlink ref="AC59" r:id="rId76" display="https://www.instagram.com/oros_india/"/>
    <hyperlink ref="AC60" r:id="rId77" display="https://www.nagpurtoday.in/best-cafes-in-nagpur-2026-our-independent-ranking-based-on-reviews-coffee-quality-ambience-customer-experience/"/>
    <hyperlink ref="AC61" r:id="rId78" display="https://rokazu.com/coffee-shops-in-nagpur-india/"/>
    <hyperlink ref="V62" r:id="rId79" display="https://www.instagram.com/brewincafe_nagpur/"/>
    <hyperlink ref="AC62" r:id="rId80" display="https://www.instagram.com/brewincafe_nagpur/"/>
    <hyperlink ref="V63" r:id="rId81" display="https://www.instagram.com/coffeebooco/"/>
    <hyperlink ref="Z63" r:id="rId82" display="https://www.linkedin.com/company/coffeeboo-specialty-coffee"/>
    <hyperlink ref="AC63" r:id="rId83" display="https://www.instagram.com/coffeebooco/"/>
    <hyperlink ref="AC64" r:id="rId84" display="https://in.linkedin.com/jobs/cafe-jobs-pune"/>
    <hyperlink ref="V65" r:id="rId85" display="https://www.instagram.com/pilgrimcoffee.in/"/>
    <hyperlink ref="AA65" r:id="rId86" display="https://www.zomato.com/nashik/pilgrim-speciality-coffee-house-college-road"/>
    <hyperlink ref="AC65" r:id="rId87" display="https://www.instagram.com/pilgrimcoffee.in/"/>
    <hyperlink ref="AA66" r:id="rId88" display="https://www.zomato.com/nashik/cafe-bliss-college-road"/>
    <hyperlink ref="AC66" r:id="rId89" display="https://www.zomato.com/nashik/cafe-bliss-college-road"/>
    <hyperlink ref="AC67" r:id="rId90" display="https://navimumbaihub.com/best-cafes-navi-mumbai/"/>
    <hyperlink ref="V68" r:id="rId91" display="https://www.instagram.com/panachespecialtycoffee/"/>
    <hyperlink ref="AC68" r:id="rId92" display="https://www.instagram.com/panachespecialtycoffee/"/>
    <hyperlink ref="V69" r:id="rId93" display="https://www.instagram.com/cafelento.in/"/>
    <hyperlink ref="AC69" r:id="rId94" display="https://yourstory.com/ys-life/the-second-house-goa-lento-cafe"/>
    <hyperlink ref="V70" r:id="rId95" display="https://www.instagram.com/momoka.india/"/>
    <hyperlink ref="AC70" r:id="rId96" display="https://www.restaurantindia.in/news/momoka-opens-japanese-kissaten-inspired-caf-on-punes-prabhat-road.n16884"/>
    <hyperlink ref="V71" r:id="rId97" display="https://www.instagram.com/oneworld_thecoffeestudio/"/>
    <hyperlink ref="AC71" r:id="rId98" display="https://curlytales.com/punes-bustling-cafe-culture-gets-a-new-chic-coffee-place-one-world-the-coffee-studio/amp/"/>
    <hyperlink ref="AA72" r:id="rId99" display="https://www.reddit.com/r/PuneCoffee/new/"/>
    <hyperlink ref="V73" r:id="rId100" display="https://www.instagram.com/bookbarpune/"/>
    <hyperlink ref="AC73" r:id="rId101" display="https://www.instagram.com/bookbarpune/"/>
    <hyperlink ref="V74" r:id="rId102" display="https://www.instagram.com/cafeserenity_pune/"/>
    <hyperlink ref="AC74" r:id="rId103" display="https://www.instagram.com/cafeserenity_pune/"/>
    <hyperlink ref="AC75" r:id="rId104" display="https://echai.ventures/grid/pune/caffeowl-coffee"/>
    <hyperlink ref="AC76" r:id="rId105" display="https://www.yukio.in/blog/best-coffee-places-in-pune/"/>
    <hyperlink ref="V77" r:id="rId106" display="https://www.instagram.com/aekascoffee/"/>
    <hyperlink ref="AC77" r:id="rId107" display="https://coffeegearguides.com/cafes/best-coffee-shops-in-pune"/>
    <hyperlink ref="V78" r:id="rId108" display="https://www.instagram.com/godaamcoffeeco/"/>
    <hyperlink ref="AC78" r:id="rId109" display="https://coffeegearguides.com/cafes/best-coffee-shops-in-pune"/>
    <hyperlink ref="V79" r:id="rId110" display="https://www.instagram.com/tham.coffee/"/>
    <hyperlink ref="AC79" r:id="rId111" display="https://www.instagram.com/tham.coffee/"/>
    <hyperlink ref="V80" r:id="rId112" display="https://www.instagram.com/zencafepune/"/>
    <hyperlink ref="AC80" r:id="rId113" display="https://lbb.in/delhi/best-coffee-places-pune"/>
    <hyperlink ref="V81" r:id="rId114" display="https://www.instagram.com/beanery.pune/"/>
    <hyperlink ref="AC81" r:id="rId115" display="https://www.instagram.com/beanery.pune/"/>
    <hyperlink ref="AC82" r:id="rId116" display="https://curlytales.com/india/food/victorian-themed-cafe-to-k-drama-like-eatery-new-restaurants-to-try-in-pune-this-february/"/>
    <hyperlink ref="V83" r:id="rId117" display="https://www.instagram.com/coffeenation_in/"/>
    <hyperlink ref="AC83" r:id="rId118" display="https://www.instagram.com/coffeenation_in/"/>
    <hyperlink ref="AC84" r:id="rId119" display="https://curlytales.com/india/food/victorian-themed-cafe-to-k-drama-like-eatery-new-restaurants-to-try-in-pune-this-february/"/>
    <hyperlink ref="V85" r:id="rId120" display="https://www.instagram.com/lunecafepune/"/>
    <hyperlink ref="AC85" r:id="rId121" display="https://www.instagram.com/lunecafepune/"/>
    <hyperlink ref="V86" r:id="rId122" display="https://www.instagram.com/midori.pune/"/>
    <hyperlink ref="AC86" r:id="rId123" display="https://www.instagram.com/midori.pune/"/>
    <hyperlink ref="AC87" r:id="rId124" display="https://echai.ventures/grid/pune/the-beans-talk-cafe"/>
    <hyperlink ref="V88" r:id="rId125" display="https://www.instagram.com/mainline.coffee/"/>
    <hyperlink ref="AC88" r:id="rId126" display="https://www.instagram.com/mainline.coffee/"/>
    <hyperlink ref="AC89" r:id="rId127" display="https://theappbarista.com/blog/best-cafes-ahmedabad"/>
    <hyperlink ref="V90" r:id="rId128" display="https://www.instagram.com/z27coffeebarahmedabad/"/>
    <hyperlink ref="AC90" r:id="rId129" display="https://www.instagram.com/z27coffeebarahmedabad/"/>
    <hyperlink ref="AC91" r:id="rId130" display="https://theappbarista.com/blog/best-cafes-ahmedabad"/>
    <hyperlink ref="V92" r:id="rId131" display="https://www.instagram.com/brewgarten/"/>
    <hyperlink ref="AC92" r:id="rId132" display="https://theappbarista.com/blog/best-cafes-ahmedabad"/>
    <hyperlink ref="AC93" r:id="rId133" display="https://knocksense.com/ahmedabad/coffee-chronicles-mleko-cafes-enchanting-presence-in-ahmedabad-is-winning-over-hearts"/>
    <hyperlink ref="AC94" r:id="rId134" display="https://www.district.in/blog/everyday-cafes-ahmedabad"/>
    <hyperlink ref="AC95" r:id="rId135" display="https://www.knocksense.com/ahmedabad/9-new-restaurants-in-ahmedabad-bringing-fresh-flavours-to-the-table"/>
    <hyperlink ref="AC96" r:id="rId136" display="https://curlytales.com/india/food/enjoy-different-vibes-under-one-roof-at-ahmedabads-new-cafe-insitu/"/>
    <hyperlink ref="AC97" r:id="rId137" display="https://curlytales.com/india/food/cafe-hoppers-rejoice-gujarats-biggest-cafe-komo-by-kaffa-opens-in-ahmedabad/"/>
    <hyperlink ref="AC98" r:id="rId138" display="https://theappbarista.com/blog/best-cafes-ahmedabad"/>
    <hyperlink ref="V99" r:id="rId139" display="https://www.instagram.com/caffotto.rajkot/"/>
    <hyperlink ref="AC99" r:id="rId140" display="https://www.instagram.com/caffotto.rajkot/"/>
    <hyperlink ref="AC100" r:id="rId141" display="https://kupi.com/en/explore/india/rajkot/dough-and-doppio"/>
    <hyperlink ref="V101" r:id="rId142" display="https://www.instagram.com/jdscafe_/"/>
    <hyperlink ref="AC101" r:id="rId143" display="https://www.instagram.com/jdscafe_/"/>
    <hyperlink ref="W102" r:id="rId144" display="https://crushcoffee.vercel.app/"/>
    <hyperlink ref="AC102" r:id="rId145" display="https://crushcoffee.vercel.app/"/>
    <hyperlink ref="V103" r:id="rId146" display="https://www.instagram.com/bbcafe.surat/"/>
    <hyperlink ref="AC103" r:id="rId147" display="https://www.instagram.com/bbcafe.surat/"/>
    <hyperlink ref="V104" r:id="rId148" display="https://www.instagram.com/merakitch/"/>
    <hyperlink ref="AC104" r:id="rId149" display="https://perfectdailygrind.com/2019/03/a-specialty-coffee-shop-tour-of-gujarat-rajasthan/"/>
    <hyperlink ref="V105" r:id="rId150" display="https://www.instagram.com/40feet_coffee/"/>
    <hyperlink ref="AC105" r:id="rId151" display="https://www.instagram.com/40feet_coffee/"/>
    <hyperlink ref="AC106" r:id="rId152" display="https://travelroach.com/ultimate-guide-best-cafes-surat/"/>
    <hyperlink ref="AC107" r:id="rId153" display="https://www.pulled.coffee/shop/enso-coffee-surat"/>
    <hyperlink ref="AC108" r:id="rId154" display="https://www.pulled.coffee/shop/livestream-coffee-vesu-surat"/>
    <hyperlink ref="AC109" r:id="rId155" display="https://www.pulled.coffee/shop/lower-ground-coffee-surat-2"/>
    <hyperlink ref="AC110" r:id="rId156" display="https://www.pulled.coffee/shop/moonstruck-coffee-surat-2"/>
    <hyperlink ref="AC111" r:id="rId157" display="https://www.pulled.coffee/shop/nothing-before-coffee-sns-arista-vesu-surat-surat-2"/>
    <hyperlink ref="AC112" r:id="rId158" display="https://echai.ventures/grid/surat/the-flat-white-coffee-house"/>
    <hyperlink ref="AC113" r:id="rId159" display="https://echai.ventures/surat/cafes/across-surat"/>
    <hyperlink ref="V114" r:id="rId160" display="https://www.instagram.com/801coffee/"/>
    <hyperlink ref="AC114" r:id="rId161" display="https://www.instagram.com/801coffee/"/>
    <hyperlink ref="V115" r:id="rId162" display="https://www.instagram.com/cafepulp__/"/>
    <hyperlink ref="AC115" r:id="rId163" display="https://www.instagram.com/cafepulp__/"/>
    <hyperlink ref="AC116" r:id="rId164" display="https://travelroach.com/ultimate-guide-best-cafes-surat/"/>
    <hyperlink ref="V117" r:id="rId165" display="https://www.instagram.com/brewito.coffee/"/>
    <hyperlink ref="AC117" r:id="rId166" display="https://www.instagram.com/brewito.coffee/"/>
    <hyperlink ref="AA118" r:id="rId167" display="https://www.zomato.com/vadodara/curators-coffee-alkapuri"/>
    <hyperlink ref="AC118" r:id="rId168" display="https://magicpin.in/Vadodara/Alkapuri/Restaurant/Curators-Coffee/store/636b96"/>
    <hyperlink ref="W119" r:id="rId169" display="https://caffein.co.in"/>
    <hyperlink ref="AC119" r:id="rId170" display="https://www.kuberproperty.in/blog/top-10-cafes-in-vadodara-2026"/>
    <hyperlink ref="V120" r:id="rId171" display="https://www.instagram.com/_coffeeyard_/"/>
    <hyperlink ref="AC120" r:id="rId172" display="https://www.instagram.com/_coffeeyard_/"/>
    <hyperlink ref="V121" r:id="rId173" display="https://www.instagram.com/cleos_cafe_/"/>
    <hyperlink ref="AC121" r:id="rId174" display="https://www.instagram.com/cleos_cafe_/"/>
    <hyperlink ref="V122" r:id="rId175" display="https://www.instagram.com/babka.goa/"/>
    <hyperlink ref="AC122" r:id="rId176" display="https://www.instagram.com/babka.goa/"/>
    <hyperlink ref="W123" r:id="rId177" display="https://grindbar.in"/>
    <hyperlink ref="AC123" r:id="rId178" display="https://www.stayvista.com/blog/best-cafes-in-anjuna-goa-2026-offbeat-and-work-friendly-spots/"/>
    <hyperlink ref="AC124" r:id="rId179" display="https://www.stayvista.com/blog/best-cafes-in-anjuna-goa-2026-offbeat-and-work-friendly-spots/"/>
    <hyperlink ref="AC125" r:id="rId180" display="https://www.district.in/blog/speciality-coffee-cafes-goa"/>
    <hyperlink ref="AC126" r:id="rId181" display="https://www.restaurantindia.in/news/restaurant-india-news-coffee-culture-enters-hospitality-with-unseen-world-s-first-coffee-focused.n14245"/>
    <hyperlink ref="AC127" r:id="rId182" display="https://www.tripadvisor.in/Restaurants-g12412672-c8-South_Goa_District_Goa.html"/>
    <hyperlink ref="AC128" r:id="rId183" display="https://www.restaurantindia.in/news/restaurant-india-news-aami-caf-bistro-opens-its-doors-in-candolim-goa.n16290"/>
    <hyperlink ref="AC129" r:id="rId184" display="https://www.instagram.com/rubyscoffee_goa/"/>
    <hyperlink ref="AC130" r:id="rId185" display="https://www.restaurantindia.in/news/novotel-goa-candolim-unveils-the-little-place-cafe.n12067"/>
    <hyperlink ref="AA131" r:id="rId186" display="https://www.zomato.com/goa/souza-coffee-colva"/>
    <hyperlink ref="AC131" r:id="rId187" display="https://www.tripadvisor.in/Restaurants-g12412672-zfg9900-South_Goa_District_Goa.html"/>
    <hyperlink ref="AC132" r:id="rId188" display="https://www.flamingotravels.co.in/blog/2026/10/cafes-to-visit-in-goa"/>
    <hyperlink ref="AC133" r:id="rId189" display="https://travellerscoop.com/must-try-new-restaurants-in-goa-openings/"/>
    <hyperlink ref="V134" r:id="rId190" display="https://www.instagram.com/larderandfolkgoa/"/>
    <hyperlink ref="AC134" r:id="rId191" display="https://www.district.in/blog/speciality-coffee-cafes-goa"/>
    <hyperlink ref="AC135" r:id="rId192" display="https://travellerscoop.com/must-try-new-restaurants-in-goa-openings/"/>
    <hyperlink ref="AC136" r:id="rId193" display="https://www.eazydiner.com/goa/asro-cafe-food-lab-porvorim-north-goa-694932/reviews"/>
    <hyperlink ref="AC137" r:id="rId194" display="https://www.instagram.com/rubyscoffee_goa/"/>
    <hyperlink ref="AC138" r:id="rId195" display="https://www.eazydiner.com/goa/cafe-robusta-porvorim-porvorim-north-goa-691965"/>
    <hyperlink ref="AC139" r:id="rId196" display="https://www.eazydiner.com/goa/joeys-porvorim-north-goa-696527"/>
    <hyperlink ref="V140" r:id="rId197" display="https://www.instagram.com/cafelento.in/"/>
    <hyperlink ref="AC140" r:id="rId198" display="https://yourstory.com/ys-life/the-second-house-goa-lento-cafe"/>
    <hyperlink ref="V141" r:id="rId199" display="https://www.instagram.com/alag.together/"/>
    <hyperlink ref="AC141" r:id="rId200" display="https://baristamagazine.com/exploring-the-vibrant-specialty-coffee-culture-of-goa-india"/>
    <hyperlink ref="V142" r:id="rId201" display="https://www.instagram.com/coffeetherapyinc/"/>
    <hyperlink ref="AC142" r:id="rId202" display="https://rokazu.com/coffee-shops-in-bhopal-india/"/>
    <hyperlink ref="V143" r:id="rId203" display="https://www.instagram.com/coffeio.in/"/>
    <hyperlink ref="AC143" r:id="rId204" display="https://www.instagram.com/coffeio.in/"/>
    <hyperlink ref="V144" r:id="rId205" display="https://www.instagram.com/cafeamado.in/"/>
    <hyperlink ref="AC144" r:id="rId206" display="https://bhopaltop10.vercel.app/bhopal/cafes/"/>
    <hyperlink ref="AC145" r:id="rId207" display="https://www.eazydiner.com/bhopal/coffea-arera-colony-bhopal-689070"/>
    <hyperlink ref="V146" r:id="rId208" display="https://www.instagram.com/lattelovebhopal/"/>
    <hyperlink ref="AC146" r:id="rId209" display="https://www.instagram.com/lattelovebhopal/"/>
    <hyperlink ref="V147" r:id="rId210" display="https://www.instagram.com/tcsbhopal/"/>
    <hyperlink ref="AC147" r:id="rId211" display="https://www.instagram.com/tcsbhopal/"/>
    <hyperlink ref="AC148" r:id="rId212" display="https://medium.com/@arunfabapr/the-best-coffee-shops-cafes-of-bhopal-7fb517e85e35"/>
    <hyperlink ref="V149" r:id="rId213" display="https://www.instagram.com/glaamz.gwalior/"/>
    <hyperlink ref="AC149" r:id="rId214" display="https://www.instagram.com/glaamz.gwalior/"/>
    <hyperlink ref="V150" r:id="rId215" display="https://www.instagram.com/dripcoindia/"/>
    <hyperlink ref="W150" r:id="rId216" display="https://www.dripcospecialitycoffeebrewers.com/"/>
    <hyperlink ref="AC150" r:id="rId217" display="https://www.dripcospecialitycoffeebrewers.com/blog"/>
    <hyperlink ref="V151" r:id="rId218" display="https://www.instagram.com/cavacafee/"/>
    <hyperlink ref="AC151" r:id="rId219" display="https://www.instagram.com/cavacafee/"/>
    <hyperlink ref="V152" r:id="rId220" display="https://www.instagram.com/absolutecoffeebrewers/"/>
    <hyperlink ref="AC152" r:id="rId221" display="https://www.instagram.com/absolutecoffeebrewers/"/>
    <hyperlink ref="AC153" r:id="rId222" display="https://www.stanzaliving.com/blog/cafes-in-indore"/>
    <hyperlink ref="V154" r:id="rId223" display="https://www.instagram.com/loveovercoffee_indore_/"/>
    <hyperlink ref="AC154" r:id="rId224" display="https://www.instagram.com/loveovercoffee_indore_/"/>
    <hyperlink ref="V155" r:id="rId225" display="https://www.instagram.com/sipcoffeeofficial/"/>
    <hyperlink ref="AC155" r:id="rId226" display="https://www.instagram.com/sipcoffeeofficial/"/>
    <hyperlink ref="V156" r:id="rId227" display="https://www.instagram.com/highbrooksjabalpur/"/>
    <hyperlink ref="AC156" r:id="rId228" display="https://wanderlog.com/place/details/10602229/the-highbrooks-cafe"/>
    <hyperlink ref="V157" r:id="rId229" display="https://www.instagram.com/moreovercoffee_india/"/>
    <hyperlink ref="AC157" r:id="rId230" display="https://www.instagram.com/moreovercoffee_india/"/>
    <hyperlink ref="AC158" r:id="rId231" display="https://oteats.outlooktraveller.com/features/guides/jaipur-is-entering-its-coffee-smart-era-and-these-spots-prove-it"/>
    <hyperlink ref="V159" r:id="rId232" display="https://www.instagram.com/carbon.jaipur/"/>
    <hyperlink ref="AC159" r:id="rId233" display="https://www.restaurantindia.in/news/carbon-opens-third-caf-in-jaipur-with-new-vaishali-nagar-outlet.n16924"/>
    <hyperlink ref="AC160" r:id="rId234" display="https://thenodmag.com/content/jacobs-brew-house-jaipur-cafe-coffee-house-review"/>
    <hyperlink ref="AA161" r:id="rId235" display="https://www.eazydiner.com/jaipur/traut-coffee-house-vidhyut-nagar-jaipur-719695"/>
    <hyperlink ref="AC161" r:id="rId236" display="https://www.outlooktraveller.com/ot-pours/traut-coffee-house-opens-doors-as-jaipurs-newest-coffee-hotspot"/>
    <hyperlink ref="V162" r:id="rId237" display="https://www.instagram.com/beansnbunjaipur/"/>
    <hyperlink ref="AC162" r:id="rId238" display="https://www.instagram.com/beansnbunjaipur/"/>
    <hyperlink ref="AC163" r:id="rId239" display="https://oteats.outlooktraveller.com/features/guides/jaipur-is-entering-its-coffee-smart-era-and-these-spots-prove-it"/>
    <hyperlink ref="V164" r:id="rId240" display="https://www.instagram.com/thelittlecoffeeshopjaipur/"/>
    <hyperlink ref="AC164" r:id="rId241" display="https://www.instagram.com/thelittlecoffeeshopjaipur/"/>
    <hyperlink ref="V165" r:id="rId242" display="https://www.instagram.com/cafeearnest/"/>
    <hyperlink ref="AC165" r:id="rId243" display="https://www.instagram.com/cafeearnest/"/>
    <hyperlink ref="V166" r:id="rId244" display="https://www.instagram.com/towncoffeejaipur/"/>
    <hyperlink ref="AC166" r:id="rId245" display="https://www.instagram.com/towncoffeejaipur/"/>
    <hyperlink ref="V167" r:id="rId246" display="https://www.instagram.com/hustlerscafejaipur/"/>
    <hyperlink ref="AC167" r:id="rId247" display="https://www.instagram.com/hustlerscafejaipur/"/>
    <hyperlink ref="V168" r:id="rId248" display="https://www.instagram.com/thehouseofcoffee__/"/>
    <hyperlink ref="AC168" r:id="rId249" display="https://www.instagram.com/thehouseofcoffee__/"/>
    <hyperlink ref="Z169" r:id="rId250" display="https://in.linkedin.com/company/worldofkacoba"/>
    <hyperlink ref="AC169" r:id="rId251" display="https://www.district.in/blog/specialty-coffee-jaipur"/>
    <hyperlink ref="AC170" r:id="rId252" display="https://explorejodhpur.com/best-coffee-spots-in-jodhpur/"/>
    <hyperlink ref="AC171" r:id="rId253" display="https://explorejodhpur.com/best-coffee-spots-in-jodhpur/"/>
    <hyperlink ref="V172" r:id="rId254" display="https://www.instagram.com/obrew.udaipur/"/>
    <hyperlink ref="AC172" r:id="rId255" display="https://www.shoppingbazar.in/specialty-coffee-udaipur-third-wave-cafes/"/>
    <hyperlink ref="AC173" r:id="rId256" display="https://www.shoppingbazar.in/specialty-coffee-udaipur-third-wave-cafes/"/>
    <hyperlink ref="AC174" r:id="rId257" display="https://www.oteats.outlooktraveller.com/features/guides/delhis-newest-openings-that-you-must-look-out-for-this-february"/>
    <hyperlink ref="V175" r:id="rId258" display="https://www.instagram.com/coffeebond/"/>
    <hyperlink ref="AC175" r:id="rId259" display="https://www.instagram.com/coffeebond/"/>
    <hyperlink ref="AC176" r:id="rId260" display="https://www.thelabmagofficial.com/new-tables-for-october-the-delhi-ncr-restaurants-cafes-and-bars-to-try/"/>
    <hyperlink ref="AC177" r:id="rId261" display="https://www.thelabmagofficial.com/new-restaurants-cafes-and-bars-to-try-across-india-this-september/"/>
    <hyperlink ref="AC178" r:id="rId262" display="https://www.thelabmagofficial.com/new-restaurants-cafes-and-bars-to-try-across-india-this-september/"/>
    <hyperlink ref="AC179" r:id="rId263" display="https://thenodmag.com/content/the-drop-hauz-khas-delhi-indian-specialty-coffee-roastery-review"/>
    <hyperlink ref="V180" r:id="rId264" display="https://www.instagram.com/ingoodcoindia/"/>
    <hyperlink ref="AC180" r:id="rId265" display="https://thenodmag.com/content/where-to-eat-this-june-in-delhi-ncr"/>
    <hyperlink ref="W181" r:id="rId266" display="https://passcodehospitality.com/drop"/>
    <hyperlink ref="AC181" r:id="rId267" display="https://www.outlooktraveller.com/ot-pours/drop-in-at-the-drop-and-find-your-jaws-dropped"/>
    <hyperlink ref="AC182" r:id="rId268" display="https://www.outlooktraveller.com/ot-pours"/>
    <hyperlink ref="AC183" r:id="rId269" display="https://www.thelabmagofficial.com/best-new-restaurants-cafes-bars-in-india-to-visit-in-august-2026/"/>
    <hyperlink ref="V184" r:id="rId270" display="https://www.instagram.com/coffeegramdelhi/"/>
    <hyperlink ref="AC184" r:id="rId271" display="https://www.instagram.com/coffeegramdelhi/"/>
    <hyperlink ref="AC185" r:id="rId272" display="https://www.worldcoffeeportal.com/news/indias-fes-cafe-appoints-former-blue-tokai-executive-following-1m-fundraise/"/>
    <hyperlink ref="AC186" r:id="rId273" display="https://www.timeout.com/delhi/restaurants/the-best-coffee-shops-in-delhi"/>
    <hyperlink ref="AC187" r:id="rId274" display="https://www.thelabmagofficial.com/new-tables-for-october-the-delhi-ncr-restaurants-cafes-and-bars-to-try/"/>
    <hyperlink ref="V188" r:id="rId275" display="https://www.instagram.com/brimsmoderncoffee/"/>
    <hyperlink ref="AC188" r:id="rId276" display="https://brewatlas.co/delhi/cafes"/>
    <hyperlink ref="AC189" r:id="rId277" display="https://www.corner.inc/place/p7HpPpxdEgHr?listId=4337c3ac-f3b8-49aa-8482-a6b94a6b2110"/>
    <hyperlink ref="V190" r:id="rId278" display="https://www.instagram.com/marcels.in/"/>
    <hyperlink ref="AC190" r:id="rId279" display="https://brewatlas.co/delhi/cafes"/>
    <hyperlink ref="AC191" r:id="rId280" display="https://brewatlas.co/delhi/cafes/food"/>
    <hyperlink ref="V192" r:id="rId281" display="https://www.instagram.com/charcha.delhi/"/>
    <hyperlink ref="AC192" r:id="rId282" display="https://www.instagram.com/charcha.delhi/"/>
    <hyperlink ref="V193" r:id="rId283" display="https://www.instagram.com/mirasindelhi/"/>
    <hyperlink ref="AC193" r:id="rId284" display="https://www.instagram.com/mirasindelhi/"/>
    <hyperlink ref="V194" r:id="rId285" display="https://www.instagram.com/nunkun_bakery/"/>
    <hyperlink ref="AC194" r:id="rId286" display="https://www.instagram.com/nunkun_bakery/"/>
    <hyperlink ref="AC195" r:id="rId287" display="https://thenodmag.com/content/delhi-ncr-new-restaurants-bars-food-menus-july-2026"/>
    <hyperlink ref="AC196" r:id="rId288" display="https://thenodmag.com/content/new-restaurants-bars-openings-february-2026-mumbai-delhi-bengaluru-goa"/>
    <hyperlink ref="AC197" r:id="rId289" display="https://brewatlas.co/delhi/cafes/food"/>
    <hyperlink ref="AC198" r:id="rId290" display="https://www.tribuneindia.com/news/business/sip-the-new-trend-5-must-visit-premium-coffee-cafes-in-delhi-ncr-2026/"/>
    <hyperlink ref="V199" r:id="rId291" display="https://www.instagram.com/theblackcoffeecafeindia/"/>
    <hyperlink ref="AC199" r:id="rId292" display="https://www.instagram.com/theblackcoffeecafeindia/"/>
    <hyperlink ref="AC200" r:id="rId293" display="https://wanderhoods.com/best-cafes-in-faridabad-5-must-visit-coffee-spots/"/>
    <hyperlink ref="AC201" r:id="rId294" display="https://www.restaurantindia.in/news/restaurant-india-news-kokoy-launches-caf-in-gurugram-enters-premium-all-day-dining-segment.n14880"/>
    <hyperlink ref="AC202" r:id="rId295" display="https://www.thelabmagofficial.com/new-tables-for-october-the-delhi-ncr-restaurants-cafes-and-bars-to-try/"/>
    <hyperlink ref="V203" r:id="rId296" display="https://www.instagram.com/ate_altogetherexperimental/"/>
    <hyperlink ref="AC203" r:id="rId297" display="https://thenodmag.com/content/new-restaurants-bars-menus-delhi-may-2026"/>
    <hyperlink ref="AC204" r:id="rId298" display="https://www.restaurantindia.in/news/oro-opens-flagship-specialty-coffee-caf-in-gurugram.n17284"/>
    <hyperlink ref="AC205" r:id="rId299" display="https://lbb.in/delhi/best-restaurants-cafes-delhi/"/>
    <hyperlink ref="AC206" r:id="rId300" display="https://indianretailer.com/news/butterhands-makes-delhi-ncr-debut-flagship-store-saket"/>
    <hyperlink ref="V207" r:id="rId301" display="https://www.instagram.com/1000percentcoffee/"/>
    <hyperlink ref="AC207" r:id="rId302" display="https://www.instagram.com/1000percentcoffee/"/>
    <hyperlink ref="V208" r:id="rId303" display="https://www.instagram.com/figatmgroad/"/>
    <hyperlink ref="AC208" r:id="rId304" display="https://www.instagram.com/figatmgroad/"/>
    <hyperlink ref="AC209" r:id="rId305" display="https://www.thelabmagofficial.com/new-tables-for-october-the-delhi-ncr-restaurants-cafes-and-bars-to-try/"/>
    <hyperlink ref="AC210" r:id="rId306" display="https://www.district.in/blog/specialty-coffee-cafes-chandigarh"/>
    <hyperlink ref="AC211" r:id="rId307" display="https://wanderon.in/blogs/best-cafes-in-kanpur"/>
    <hyperlink ref="W212" r:id="rId308" display="https://sidewalkindia.com/"/>
    <hyperlink ref="AC212" r:id="rId309" display="https://sidewalkindia.com/"/>
    <hyperlink ref="AC213" r:id="rId310" display="https://www.knocksense.com/lucknow/5-new-coffee-spots-in-lucknow-worth-adding-to-your-caf%C3%A9-hopping-list"/>
    <hyperlink ref="AC214" r:id="rId311" display="https://www.knocksense.com/lucknow/5-new-coffee-spots-in-lucknow-worth-adding-to-your-caf%C3%A9-hopping-list"/>
    <hyperlink ref="AC215" r:id="rId312" display="https://www.knocksense.com/lucknow/5-new-coffee-spots-in-lucknow-worth-adding-to-your-caf%C3%A9-hopping-list"/>
    <hyperlink ref="V216" r:id="rId313" display="https://www.instagram.com/overflowlko/"/>
    <hyperlink ref="W216" r:id="rId314" display="https://overflowcoffee.in/"/>
    <hyperlink ref="AC216" r:id="rId315" display="https://overflowcoffee.in/"/>
    <hyperlink ref="AC217" r:id="rId316" display="https://www.knocksense.com/lucknow/ditch-the-old-cafes-lucknows-newest-chacoco-is-brewing-something-specialheres-why-youll-love-it/"/>
    <hyperlink ref="AC218" r:id="rId317" display="https://www.knocksense.com/lucknow/5-new-coffee-spots-in-lucknow-worth-adding-to-your-caf%C3%A9-hopping-list"/>
    <hyperlink ref="V219" r:id="rId318" display="https://www.instagram.com/philtrecoindia/"/>
    <hyperlink ref="AC219" r:id="rId319" display="https://www.instagram.com/philtrecoindia/"/>
    <hyperlink ref="V220" r:id="rId320" display="https://www.instagram.com/baske.lucknow/"/>
    <hyperlink ref="AC220" r:id="rId321" display="https://www.instagram.com/baske.lucknow/"/>
    <hyperlink ref="AC221" r:id="rId322" display="https://www.district.in/blog/specialty-coffee-noida"/>
    <hyperlink ref="AC222" r:id="rId323" display="https://www.district.in/blog/specialty-coffee-noida"/>
    <hyperlink ref="V223" r:id="rId324" display="https://www.instagram.com/thehavennoida/"/>
    <hyperlink ref="AC223" r:id="rId325" display="https://www.instagram.com/thehavennoida/"/>
    <hyperlink ref="AC224" r:id="rId326" display="https://magicpin.in/blog/india/noida/food-and-beverage/best-cafes-in-noida-for-work-from-cafe"/>
    <hyperlink ref="AC225" r:id="rId327" display="https://www.district.in/blog/specialty-coffee-noida"/>
    <hyperlink ref="V226" r:id="rId328" display="https://www.instagram.com/cafemeraki.prayagraj/"/>
    <hyperlink ref="AC226" r:id="rId329" display="https://www.instagram.com/cafemeraki.prayagraj/"/>
    <hyperlink ref="AC227" r:id="rId330" display="https://www.pinaak.co/discover/varanasi-cafes-restaurants"/>
    <hyperlink ref="AC228" r:id="rId331" display="https://zipbiz.in/hidden-cafes-chandigarh-mohali/"/>
    <hyperlink ref="V229" r:id="rId332" display="https://www.instagram.com/greko.espresso/"/>
    <hyperlink ref="AC229" r:id="rId333" display="https://www.instagram.com/greko.espresso/"/>
    <hyperlink ref="V230" r:id="rId334" display="https://www.instagram.com/wht.blk.coffeehouse/"/>
    <hyperlink ref="AC230" r:id="rId335" display="https://www.instagram.com/wht.blk.coffeehouse/"/>
    <hyperlink ref="AC231" r:id="rId336" display="https://restaurant-guru.in/cafe-Ludhiana-t6"/>
    <hyperlink ref="AC232" r:id="rId337" display="https://www.dinediary.in/2026/03/best-cafes-in-ludhiana.html?m=1"/>
    <hyperlink ref="AC233" r:id="rId338" display="https://www.explurger.com/pd/p5kv9l6q6vjy8n2cx"/>
    <hyperlink ref="V234" r:id="rId339" display="https://www.instagram.com/caferue18/"/>
    <hyperlink ref="AC234" r:id="rId340" display="https://www.dinediary.in/2026/03/best-cafes-in-ludhiana.html?m=1"/>
    <hyperlink ref="AC235" r:id="rId341" display="https://realtynmore.com/batter-bar-coffee-cafe-at-cp67-mohali/"/>
    <hyperlink ref="V236" r:id="rId342" display="https://www.instagram.com/pullandpourindia/"/>
    <hyperlink ref="AA236" r:id="rId343" display="https://www.zomato.com/chandigarh/pull-and-pour-speciality-coffee-sector-67-mohali/order"/>
    <hyperlink ref="AC236" r:id="rId344" display="https://www.district.in/dining/chandigarh/pull-and-pour-speciality-coffee-sector-67-mohali"/>
    <hyperlink ref="AC237" r:id="rId345" display="https://travell.cc/chandigarh/best-cafes-in-chandigarh/"/>
    <hyperlink ref="AC238" r:id="rId346" display="https://chdlife.com/top-14-best-cafes-in-chandigarh/"/>
    <hyperlink ref="AC239" r:id="rId347" display="https://travell.cc/chandigarh/best-cafes-in-chandigarh/"/>
    <hyperlink ref="AC240" r:id="rId348" display="https://travell.cc/chandigarh/best-cafes-in-chandigarh/"/>
    <hyperlink ref="AC241" r:id="rId349" display="https://refuje.com/blog/best-cafes-himachal-pradesh-every-town"/>
    <hyperlink ref="AC242" r:id="rId350" display="https://himlocal.com/blog/cafes-in-manali"/>
    <hyperlink ref="AC243" r:id="rId351" display="https://dharamshalaguide.com/cafes-in-mcleodganj/"/>
    <hyperlink ref="W244" r:id="rId352" display="https://aristella.in/cafe-in-mussoorie-road-dehradun"/>
    <hyperlink ref="AC244" r:id="rId353" display="https://aristella.in/cafe-in-mussoorie-road-dehradun"/>
    <hyperlink ref="AC245" r:id="rId354" display="https://farzicafedehradun.com/best-cafe-in-dehradun.html"/>
    <hyperlink ref="AC246" r:id="rId355" display="https://www.baliyogaschool.com/10-best-cafes-in-rishikesh-for-food-vibe-and-best-working-space/"/>
    <hyperlink ref="AC247" r:id="rId356" display="https://roseatehotels.com/cafes/"/>
    <hyperlink ref="AC248" r:id="rId357" display="https://wanderlog.com/list/geoCategory/291116"/>
    <hyperlink ref="AC249" r:id="rId358" display="https://www.tripadvisor.in/Restaurants-g297625-zfg9900-Leh_Leh_District_Ladakh.html"/>
    <hyperlink ref="V250" r:id="rId359" display="https://www.instagram.com/specialtycoffeehouseindia/"/>
    <hyperlink ref="AC250" r:id="rId360" display="https://www.instagram.com/specialtycoffeehouseindia/"/>
    <hyperlink ref="AC251" r:id="rId361" display="https://t2online.in/goodlife/food-beverage/flameback-cafe---kitchen-is-where-global-flavours-pair-up-with-world-coffee--t2-checked-it-out/2001719"/>
    <hyperlink ref="V252" r:id="rId362" display="https://www.instagram.com/kulture_coffee/"/>
    <hyperlink ref="AA252" r:id="rId363" display="https://www.zomato.com/kolkata/kulture-specialty-coffee-bistro-park-street-area"/>
    <hyperlink ref="AC252" r:id="rId364" display="https://t2online.in/goodlife/food-beverage/t2-gets-you-the-first-look-of-kulture-specialty-coffee-bistro-the-new-dine-den-in-town/1462233"/>
    <hyperlink ref="W253" r:id="rId365" display="https://www.artsyinkolkata.com/"/>
    <hyperlink ref="AC253" r:id="rId366" display="https://www.artsyinkolkata.com/"/>
    <hyperlink ref="V254" r:id="rId367" display="https://www.instagram.com/colabcoffeecalcutta/"/>
    <hyperlink ref="AC254" r:id="rId368" display="https://www.instagram.com/colabcoffeecalcutta/"/>
    <hyperlink ref="V255" r:id="rId369" display="https://www.instagram.com/cafecaptainamericano/"/>
    <hyperlink ref="AC255" r:id="rId370" display="https://www.instagram.com/cafecaptainamericano/"/>
    <hyperlink ref="V256" r:id="rId371" display="https://www.instagram.com/amaricoffeenewtown/"/>
    <hyperlink ref="AC256" r:id="rId372" display="https://www.instagram.com/amaricoffeenewtown/"/>
    <hyperlink ref="AC257" r:id="rId373" display="https://www.cosmopolitan.in/life/features/story/forget-your-usual-cappuccino-these-are-the-coffee-orders-worth-switching-things-up-for-1436793-2026-08-13"/>
    <hyperlink ref="V258" r:id="rId374" display="https://www.instagram.com/lineupcoffee_newtown/"/>
    <hyperlink ref="AC258" r:id="rId375" display="https://www.instagram.com/lineupcoffee_newtown/"/>
    <hyperlink ref="V259" r:id="rId376" display="https://www.instagram.com/cafe82kolkata/"/>
    <hyperlink ref="AC259" r:id="rId377" display="https://www.instagram.com/cafe82kolkata/"/>
    <hyperlink ref="W260" r:id="rId378" display="https://www.picokolkata.com/"/>
    <hyperlink ref="AC260" r:id="rId379" display="https://www.picokolkata.com/"/>
    <hyperlink ref="AC261" r:id="rId380" display="https://t2online.in/goodlife/food-beverage/whizz-coffee-from-craft-coffee-box-is-brewing-a-new-sip-culture-where-artisanal-cups-meet-affordable-prices/2008421"/>
    <hyperlink ref="V262" r:id="rId381" display="https://www.instagram.com/8thdaycafe/"/>
    <hyperlink ref="AC262" r:id="rId382" display="https://t2online.in/goodlife/food-beverage/8th-day-caf----bakery-brews-big-in-new-town-with-its-fifth-kolkata-outlet/2003182"/>
    <hyperlink ref="V263" r:id="rId383" display="https://www.instagram.com/thecoffeeshop.slg/"/>
    <hyperlink ref="AC263" r:id="rId384" display="https://www.instagram.com/thecoffeeshop.slg/"/>
    <hyperlink ref="AC264" r:id="rId385" display="https://restaurant-guru.in/cafe-Bhubaneswar-t6"/>
    <hyperlink ref="V265" r:id="rId386" display="https://www.instagram.com/cafe13patna/"/>
    <hyperlink ref="AC265" r:id="rId387" display="https://www.instagram.com/cafe13patna/"/>
    <hyperlink ref="AC266" r:id="rId388" display="https://www.pulled.coffee/shop/cafe-hideout-patna-5"/>
    <hyperlink ref="V267" r:id="rId389" display="https://www.instagram.com/brewhaus.ranchi/"/>
    <hyperlink ref="AC267" r:id="rId390" display="https://www.instagram.com/brewhaus.ranchi/"/>
    <hyperlink ref="AC268" r:id="rId391" display="https://yappe.in/assam/guwahati/coffee-shop"/>
    <hyperlink ref="AC269" r:id="rId392" display="https://yappe.in/assam/guwahati/coffee-shop"/>
    <hyperlink ref="AC270" r:id="rId393" display="https://eastmojo.com/lifestyle/2020/08/31/black-art-coffee-in-guwahati-celebrating-art-one-cup-at-a-time/"/>
    <hyperlink ref="V271" r:id="rId394" display="https://www.instagram.com/cafe138_/"/>
    <hyperlink ref="AC271" r:id="rId395" display="https://www.instagram.com/cafe138_/"/>
    <hyperlink ref="AC272" r:id="rId396" display="https://curlytales.com/rajkummar-rao-spotted-at-a-cosy-shillong-cafe-its-specialty-coffee-is-worth-a-trip-to-meghalaya/"/>
    <hyperlink ref="W273" r:id="rId397" display="https://www.hotelpolotowers.com/our-cafes/ml-05.html"/>
    <hyperlink ref="AC273" r:id="rId398" display="https://xtsy.one/cafes-in-shillong"/>
    <hyperlink ref="V274" r:id="rId399" display="https://www.instagram.com/bisaunigangtok/"/>
    <hyperlink ref="AC274" r:id="rId400" display="https://www.instagram.com/bisaunigangtok/"/>
    <hyperlink ref="AC275" r:id="rId401" display="https://travelsetu.com/apps/blog/coffee-culture-in-gangtok-best-cafes-to-visit"/>
    <hyperlink ref="V276" r:id="rId402" display="https://www.instagram.com/thecoffeeshop.gtk/"/>
    <hyperlink ref="AC276" r:id="rId403" display="https://www.instagram.com/thecoffeeshop.gtk/"/>
    <hyperlink ref="V277" r:id="rId404" display="https://www.instagram.com/nagacoffeeexpress/"/>
    <hyperlink ref="AC277" r:id="rId405" display="https://www.instagram.com/nagacoffeeexpress/"/>
    <hyperlink ref="AC278" r:id="rId406" display="https://oddessemania.in/best-cafes-in-aizawl/"/>
    <hyperlink ref="V279" r:id="rId407" display="https://www.instagram.com/aizawl.coffee.house/"/>
    <hyperlink ref="AC279" r:id="rId408" display="https://www.instagram.com/aizawl.coffee.house/"/>
    <hyperlink ref="V280" r:id="rId409" display="https://www.instagram.com/booksandcoffee_imphal/"/>
    <hyperlink ref="AC280" r:id="rId410" display="https://www.instagram.com/booksandcoffee_imphal/"/>
    <hyperlink ref="V281" r:id="rId411" display="https://www.instagram.com/frespresso.agt/"/>
    <hyperlink ref="AC281" r:id="rId412" display="https://www.instagram.com/frespresso.a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18"/>
    <col collapsed="false" customWidth="true" hidden="false" outlineLevel="0" max="4" min="4" style="0" width="9"/>
    <col collapsed="false" customWidth="true" hidden="false" outlineLevel="0" max="5" min="5" style="0" width="28"/>
    <col collapsed="false" customWidth="true" hidden="false" outlineLevel="0" max="7" min="6" style="0" width="14"/>
    <col collapsed="false" customWidth="true" hidden="false" outlineLevel="0" max="8" min="8" style="0" width="55"/>
    <col collapsed="false" customWidth="true" hidden="false" outlineLevel="0" max="9" min="9" style="0" width="32"/>
    <col collapsed="false" customWidth="true" hidden="false" outlineLevel="0" max="10" min="10" style="0" width="20"/>
    <col collapsed="false" customWidth="true" hidden="false" outlineLevel="0" max="11" min="11" style="0" width="40"/>
    <col collapsed="false" customWidth="true" hidden="false" outlineLevel="0" max="12" min="12" style="0" width="45"/>
    <col collapsed="false" customWidth="true" hidden="false" outlineLevel="0" max="13" min="13" style="0" width="60"/>
    <col collapsed="false" customWidth="true" hidden="false" outlineLevel="0" max="14" min="14" style="0" width="16"/>
    <col collapsed="false" customWidth="true" hidden="false" outlineLevel="0" max="15" min="15" style="0" width="22"/>
    <col collapsed="false" customWidth="true" hidden="false" outlineLevel="0" max="16" min="16" style="0" width="28"/>
    <col collapsed="false" customWidth="true" hidden="false" outlineLevel="0" max="17" min="17" style="0" width="40"/>
    <col collapsed="false" customWidth="true" hidden="false" outlineLevel="0" max="18" min="18" style="0" width="60"/>
    <col collapsed="false" customWidth="true" hidden="false" outlineLevel="0" max="19" min="19" style="0" width="30"/>
  </cols>
  <sheetData>
    <row r="1" customFormat="false" ht="30" hidden="false" customHeight="true" outlineLevel="0" collapsed="false">
      <c r="A1" s="6" t="s">
        <v>42</v>
      </c>
      <c r="B1" s="6" t="s">
        <v>43</v>
      </c>
      <c r="C1" s="6" t="s">
        <v>44</v>
      </c>
      <c r="D1" s="6" t="s">
        <v>45</v>
      </c>
      <c r="E1" s="6" t="s">
        <v>46</v>
      </c>
      <c r="F1" s="6" t="s">
        <v>50</v>
      </c>
      <c r="G1" s="6" t="s">
        <v>52</v>
      </c>
      <c r="H1" s="6" t="s">
        <v>53</v>
      </c>
      <c r="I1" s="6" t="s">
        <v>54</v>
      </c>
      <c r="J1" s="6" t="s">
        <v>55</v>
      </c>
      <c r="K1" s="6" t="s">
        <v>56</v>
      </c>
      <c r="L1" s="6" t="s">
        <v>57</v>
      </c>
      <c r="M1" s="6" t="s">
        <v>58</v>
      </c>
      <c r="N1" s="6" t="s">
        <v>61</v>
      </c>
      <c r="O1" s="6" t="s">
        <v>62</v>
      </c>
      <c r="P1" s="6" t="s">
        <v>69</v>
      </c>
      <c r="Q1" s="6" t="s">
        <v>70</v>
      </c>
      <c r="R1" s="6" t="s">
        <v>72</v>
      </c>
      <c r="S1" s="6" t="s">
        <v>73</v>
      </c>
    </row>
    <row r="2" customFormat="false" ht="35.05" hidden="false" customHeight="false" outlineLevel="0" collapsed="false">
      <c r="A2" s="7" t="s">
        <v>75</v>
      </c>
      <c r="B2" s="7" t="s">
        <v>76</v>
      </c>
      <c r="C2" s="7" t="s">
        <v>77</v>
      </c>
      <c r="D2" s="7" t="s">
        <v>78</v>
      </c>
      <c r="E2" s="7" t="s">
        <v>79</v>
      </c>
      <c r="F2" s="7" t="s">
        <v>83</v>
      </c>
      <c r="G2" s="7" t="s">
        <v>85</v>
      </c>
      <c r="H2" s="7" t="s">
        <v>86</v>
      </c>
      <c r="I2" s="7" t="s">
        <v>87</v>
      </c>
      <c r="J2" s="7"/>
      <c r="K2" s="7"/>
      <c r="L2" s="7" t="s">
        <v>88</v>
      </c>
      <c r="M2" s="7" t="s">
        <v>89</v>
      </c>
      <c r="N2" s="7" t="s">
        <v>92</v>
      </c>
      <c r="O2" s="7"/>
      <c r="P2" s="7"/>
      <c r="Q2" s="7" t="s">
        <v>94</v>
      </c>
      <c r="R2" s="7"/>
      <c r="S2" s="7"/>
    </row>
    <row r="3" customFormat="false" ht="35.05" hidden="false" customHeight="false" outlineLevel="0" collapsed="false">
      <c r="A3" s="7" t="s">
        <v>97</v>
      </c>
      <c r="B3" s="7" t="s">
        <v>76</v>
      </c>
      <c r="C3" s="7" t="s">
        <v>77</v>
      </c>
      <c r="D3" s="7" t="s">
        <v>98</v>
      </c>
      <c r="E3" s="7" t="s">
        <v>99</v>
      </c>
      <c r="F3" s="7" t="s">
        <v>103</v>
      </c>
      <c r="G3" s="7" t="s">
        <v>85</v>
      </c>
      <c r="H3" s="7" t="s">
        <v>105</v>
      </c>
      <c r="I3" s="7" t="s">
        <v>87</v>
      </c>
      <c r="J3" s="7"/>
      <c r="K3" s="7"/>
      <c r="L3" s="7" t="s">
        <v>106</v>
      </c>
      <c r="M3" s="7" t="s">
        <v>89</v>
      </c>
      <c r="N3" s="7" t="s">
        <v>109</v>
      </c>
      <c r="O3" s="7" t="s">
        <v>110</v>
      </c>
      <c r="P3" s="7"/>
      <c r="Q3" s="8" t="s">
        <v>111</v>
      </c>
      <c r="R3" s="7" t="s">
        <v>113</v>
      </c>
      <c r="S3" s="7"/>
    </row>
    <row r="4" customFormat="false" ht="23.85" hidden="false" customHeight="false" outlineLevel="0" collapsed="false">
      <c r="A4" s="7" t="s">
        <v>115</v>
      </c>
      <c r="B4" s="7" t="s">
        <v>116</v>
      </c>
      <c r="C4" s="7" t="s">
        <v>77</v>
      </c>
      <c r="D4" s="7" t="s">
        <v>78</v>
      </c>
      <c r="E4" s="7" t="s">
        <v>117</v>
      </c>
      <c r="F4" s="7" t="s">
        <v>119</v>
      </c>
      <c r="G4" s="7" t="s">
        <v>121</v>
      </c>
      <c r="H4" s="7" t="s">
        <v>105</v>
      </c>
      <c r="I4" s="7" t="s">
        <v>122</v>
      </c>
      <c r="J4" s="7"/>
      <c r="K4" s="7"/>
      <c r="L4" s="7" t="s">
        <v>123</v>
      </c>
      <c r="M4" s="7" t="s">
        <v>124</v>
      </c>
      <c r="N4" s="7" t="s">
        <v>92</v>
      </c>
      <c r="O4" s="7"/>
      <c r="P4" s="7"/>
      <c r="Q4" s="8" t="s">
        <v>127</v>
      </c>
      <c r="R4" s="7" t="s">
        <v>129</v>
      </c>
      <c r="S4" s="7"/>
    </row>
    <row r="5" customFormat="false" ht="35.05" hidden="false" customHeight="false" outlineLevel="0" collapsed="false">
      <c r="A5" s="7" t="s">
        <v>131</v>
      </c>
      <c r="B5" s="7" t="s">
        <v>116</v>
      </c>
      <c r="C5" s="7" t="s">
        <v>77</v>
      </c>
      <c r="D5" s="7" t="s">
        <v>98</v>
      </c>
      <c r="E5" s="7" t="s">
        <v>132</v>
      </c>
      <c r="F5" s="7" t="s">
        <v>83</v>
      </c>
      <c r="G5" s="7" t="s">
        <v>85</v>
      </c>
      <c r="H5" s="7" t="s">
        <v>105</v>
      </c>
      <c r="I5" s="7" t="s">
        <v>87</v>
      </c>
      <c r="J5" s="7"/>
      <c r="K5" s="7"/>
      <c r="L5" s="7" t="s">
        <v>106</v>
      </c>
      <c r="M5" s="7" t="s">
        <v>89</v>
      </c>
      <c r="N5" s="7" t="s">
        <v>109</v>
      </c>
      <c r="O5" s="7" t="s">
        <v>136</v>
      </c>
      <c r="P5" s="7"/>
      <c r="Q5" s="8" t="s">
        <v>137</v>
      </c>
      <c r="R5" s="7"/>
      <c r="S5" s="7"/>
    </row>
    <row r="6" customFormat="false" ht="35.05" hidden="false" customHeight="false" outlineLevel="0" collapsed="false">
      <c r="A6" s="7" t="s">
        <v>140</v>
      </c>
      <c r="B6" s="7" t="s">
        <v>76</v>
      </c>
      <c r="C6" s="7" t="s">
        <v>141</v>
      </c>
      <c r="D6" s="7" t="s">
        <v>78</v>
      </c>
      <c r="E6" s="7" t="s">
        <v>142</v>
      </c>
      <c r="F6" s="7" t="s">
        <v>119</v>
      </c>
      <c r="G6" s="7" t="s">
        <v>85</v>
      </c>
      <c r="H6" s="7" t="s">
        <v>105</v>
      </c>
      <c r="I6" s="7" t="s">
        <v>87</v>
      </c>
      <c r="J6" s="7"/>
      <c r="K6" s="7"/>
      <c r="L6" s="7" t="s">
        <v>88</v>
      </c>
      <c r="M6" s="7" t="s">
        <v>144</v>
      </c>
      <c r="N6" s="7" t="s">
        <v>92</v>
      </c>
      <c r="O6" s="7"/>
      <c r="P6" s="7" t="s">
        <v>147</v>
      </c>
      <c r="Q6" s="7" t="s">
        <v>148</v>
      </c>
      <c r="R6" s="7"/>
      <c r="S6" s="7"/>
    </row>
    <row r="7" customFormat="false" ht="35.05" hidden="false" customHeight="false" outlineLevel="0" collapsed="false">
      <c r="A7" s="7" t="s">
        <v>150</v>
      </c>
      <c r="B7" s="7" t="s">
        <v>76</v>
      </c>
      <c r="C7" s="7" t="s">
        <v>141</v>
      </c>
      <c r="D7" s="7" t="s">
        <v>78</v>
      </c>
      <c r="E7" s="7" t="s">
        <v>151</v>
      </c>
      <c r="F7" s="7" t="s">
        <v>119</v>
      </c>
      <c r="G7" s="7" t="s">
        <v>85</v>
      </c>
      <c r="H7" s="7" t="s">
        <v>153</v>
      </c>
      <c r="I7" s="7" t="s">
        <v>87</v>
      </c>
      <c r="J7" s="7" t="s">
        <v>154</v>
      </c>
      <c r="K7" s="7" t="s">
        <v>155</v>
      </c>
      <c r="L7" s="7" t="s">
        <v>156</v>
      </c>
      <c r="M7" s="7" t="s">
        <v>157</v>
      </c>
      <c r="N7" s="7" t="s">
        <v>109</v>
      </c>
      <c r="O7" s="7" t="s">
        <v>160</v>
      </c>
      <c r="P7" s="7" t="s">
        <v>162</v>
      </c>
      <c r="Q7" s="8" t="s">
        <v>163</v>
      </c>
      <c r="R7" s="7" t="s">
        <v>164</v>
      </c>
      <c r="S7" s="7"/>
    </row>
    <row r="8" customFormat="false" ht="35.05" hidden="false" customHeight="false" outlineLevel="0" collapsed="false">
      <c r="A8" s="7" t="s">
        <v>166</v>
      </c>
      <c r="B8" s="7" t="s">
        <v>76</v>
      </c>
      <c r="C8" s="7" t="s">
        <v>141</v>
      </c>
      <c r="D8" s="7" t="s">
        <v>78</v>
      </c>
      <c r="E8" s="7" t="s">
        <v>167</v>
      </c>
      <c r="F8" s="7" t="s">
        <v>119</v>
      </c>
      <c r="G8" s="7" t="s">
        <v>85</v>
      </c>
      <c r="H8" s="7" t="s">
        <v>105</v>
      </c>
      <c r="I8" s="7" t="s">
        <v>87</v>
      </c>
      <c r="J8" s="7"/>
      <c r="K8" s="7"/>
      <c r="L8" s="7" t="s">
        <v>88</v>
      </c>
      <c r="M8" s="7" t="s">
        <v>144</v>
      </c>
      <c r="N8" s="7" t="s">
        <v>92</v>
      </c>
      <c r="O8" s="7"/>
      <c r="P8" s="7"/>
      <c r="Q8" s="8" t="s">
        <v>170</v>
      </c>
      <c r="R8" s="7" t="s">
        <v>171</v>
      </c>
      <c r="S8" s="7"/>
    </row>
    <row r="9" customFormat="false" ht="35.05" hidden="false" customHeight="false" outlineLevel="0" collapsed="false">
      <c r="A9" s="7" t="s">
        <v>173</v>
      </c>
      <c r="B9" s="7" t="s">
        <v>76</v>
      </c>
      <c r="C9" s="7" t="s">
        <v>141</v>
      </c>
      <c r="D9" s="7" t="s">
        <v>78</v>
      </c>
      <c r="E9" s="7" t="s">
        <v>174</v>
      </c>
      <c r="F9" s="7" t="s">
        <v>119</v>
      </c>
      <c r="G9" s="7" t="s">
        <v>85</v>
      </c>
      <c r="H9" s="7" t="s">
        <v>105</v>
      </c>
      <c r="I9" s="7" t="s">
        <v>87</v>
      </c>
      <c r="J9" s="7"/>
      <c r="K9" s="7"/>
      <c r="L9" s="7" t="s">
        <v>88</v>
      </c>
      <c r="M9" s="7" t="s">
        <v>144</v>
      </c>
      <c r="N9" s="7" t="s">
        <v>92</v>
      </c>
      <c r="O9" s="7"/>
      <c r="P9" s="7"/>
      <c r="Q9" s="8" t="s">
        <v>176</v>
      </c>
      <c r="R9" s="7" t="s">
        <v>178</v>
      </c>
      <c r="S9" s="7"/>
    </row>
    <row r="10" customFormat="false" ht="23.85" hidden="false" customHeight="false" outlineLevel="0" collapsed="false">
      <c r="A10" s="7" t="s">
        <v>180</v>
      </c>
      <c r="B10" s="7" t="s">
        <v>76</v>
      </c>
      <c r="C10" s="7" t="s">
        <v>141</v>
      </c>
      <c r="D10" s="7" t="s">
        <v>78</v>
      </c>
      <c r="E10" s="7" t="s">
        <v>181</v>
      </c>
      <c r="F10" s="7" t="s">
        <v>119</v>
      </c>
      <c r="G10" s="7" t="s">
        <v>85</v>
      </c>
      <c r="H10" s="7" t="s">
        <v>184</v>
      </c>
      <c r="I10" s="7" t="s">
        <v>87</v>
      </c>
      <c r="J10" s="7"/>
      <c r="K10" s="7" t="s">
        <v>185</v>
      </c>
      <c r="L10" s="7" t="s">
        <v>186</v>
      </c>
      <c r="M10" s="7" t="s">
        <v>187</v>
      </c>
      <c r="N10" s="7" t="s">
        <v>189</v>
      </c>
      <c r="O10" s="7"/>
      <c r="P10" s="7" t="s">
        <v>191</v>
      </c>
      <c r="Q10" s="8" t="s">
        <v>192</v>
      </c>
      <c r="R10" s="7" t="s">
        <v>193</v>
      </c>
      <c r="S10" s="7"/>
    </row>
    <row r="11" customFormat="false" ht="35.05" hidden="false" customHeight="false" outlineLevel="0" collapsed="false">
      <c r="A11" s="7" t="s">
        <v>195</v>
      </c>
      <c r="B11" s="7" t="s">
        <v>76</v>
      </c>
      <c r="C11" s="7" t="s">
        <v>141</v>
      </c>
      <c r="D11" s="7" t="s">
        <v>78</v>
      </c>
      <c r="E11" s="7" t="s">
        <v>196</v>
      </c>
      <c r="F11" s="7" t="s">
        <v>119</v>
      </c>
      <c r="G11" s="7" t="s">
        <v>85</v>
      </c>
      <c r="H11" s="7" t="s">
        <v>105</v>
      </c>
      <c r="I11" s="7" t="s">
        <v>87</v>
      </c>
      <c r="J11" s="7"/>
      <c r="K11" s="7"/>
      <c r="L11" s="7" t="s">
        <v>88</v>
      </c>
      <c r="M11" s="7" t="s">
        <v>144</v>
      </c>
      <c r="N11" s="7" t="s">
        <v>109</v>
      </c>
      <c r="O11" s="7" t="s">
        <v>200</v>
      </c>
      <c r="P11" s="7"/>
      <c r="Q11" s="8" t="s">
        <v>202</v>
      </c>
      <c r="R11" s="7"/>
      <c r="S11" s="7"/>
    </row>
    <row r="12" customFormat="false" ht="23.85" hidden="false" customHeight="false" outlineLevel="0" collapsed="false">
      <c r="A12" s="7" t="s">
        <v>203</v>
      </c>
      <c r="B12" s="7" t="s">
        <v>76</v>
      </c>
      <c r="C12" s="7" t="s">
        <v>141</v>
      </c>
      <c r="D12" s="7" t="s">
        <v>78</v>
      </c>
      <c r="E12" s="7" t="s">
        <v>204</v>
      </c>
      <c r="F12" s="7" t="s">
        <v>119</v>
      </c>
      <c r="G12" s="7" t="s">
        <v>85</v>
      </c>
      <c r="H12" s="7" t="s">
        <v>205</v>
      </c>
      <c r="I12" s="7" t="s">
        <v>87</v>
      </c>
      <c r="J12" s="7"/>
      <c r="K12" s="7"/>
      <c r="L12" s="7" t="s">
        <v>206</v>
      </c>
      <c r="M12" s="7" t="s">
        <v>207</v>
      </c>
      <c r="N12" s="7" t="s">
        <v>92</v>
      </c>
      <c r="O12" s="7"/>
      <c r="P12" s="7"/>
      <c r="Q12" s="8" t="s">
        <v>176</v>
      </c>
      <c r="R12" s="7" t="s">
        <v>178</v>
      </c>
      <c r="S12" s="7"/>
    </row>
    <row r="13" customFormat="false" ht="35.05" hidden="false" customHeight="false" outlineLevel="0" collapsed="false">
      <c r="A13" s="7" t="s">
        <v>209</v>
      </c>
      <c r="B13" s="7" t="s">
        <v>76</v>
      </c>
      <c r="C13" s="7" t="s">
        <v>141</v>
      </c>
      <c r="D13" s="7" t="s">
        <v>78</v>
      </c>
      <c r="E13" s="7" t="s">
        <v>210</v>
      </c>
      <c r="F13" s="7" t="s">
        <v>119</v>
      </c>
      <c r="G13" s="7" t="s">
        <v>85</v>
      </c>
      <c r="H13" s="7" t="s">
        <v>105</v>
      </c>
      <c r="I13" s="7" t="s">
        <v>87</v>
      </c>
      <c r="J13" s="7"/>
      <c r="K13" s="7"/>
      <c r="L13" s="7" t="s">
        <v>88</v>
      </c>
      <c r="M13" s="7" t="s">
        <v>144</v>
      </c>
      <c r="N13" s="7" t="s">
        <v>92</v>
      </c>
      <c r="O13" s="7"/>
      <c r="P13" s="7"/>
      <c r="Q13" s="8" t="s">
        <v>213</v>
      </c>
      <c r="R13" s="7"/>
      <c r="S13" s="7"/>
    </row>
    <row r="14" customFormat="false" ht="23.85" hidden="false" customHeight="false" outlineLevel="0" collapsed="false">
      <c r="A14" s="7" t="s">
        <v>215</v>
      </c>
      <c r="B14" s="7" t="s">
        <v>76</v>
      </c>
      <c r="C14" s="7" t="s">
        <v>141</v>
      </c>
      <c r="D14" s="7" t="s">
        <v>78</v>
      </c>
      <c r="E14" s="7" t="s">
        <v>216</v>
      </c>
      <c r="F14" s="7" t="s">
        <v>119</v>
      </c>
      <c r="G14" s="7" t="s">
        <v>218</v>
      </c>
      <c r="H14" s="7" t="s">
        <v>219</v>
      </c>
      <c r="I14" s="7" t="s">
        <v>220</v>
      </c>
      <c r="J14" s="7" t="s">
        <v>221</v>
      </c>
      <c r="K14" s="7" t="s">
        <v>222</v>
      </c>
      <c r="L14" s="7" t="s">
        <v>223</v>
      </c>
      <c r="M14" s="7" t="s">
        <v>224</v>
      </c>
      <c r="N14" s="7" t="s">
        <v>109</v>
      </c>
      <c r="O14" s="7" t="s">
        <v>227</v>
      </c>
      <c r="P14" s="7" t="s">
        <v>229</v>
      </c>
      <c r="Q14" s="8" t="s">
        <v>230</v>
      </c>
      <c r="R14" s="7" t="s">
        <v>231</v>
      </c>
      <c r="S14" s="7"/>
    </row>
    <row r="15" customFormat="false" ht="68.65" hidden="false" customHeight="false" outlineLevel="0" collapsed="false">
      <c r="A15" s="7" t="s">
        <v>233</v>
      </c>
      <c r="B15" s="7" t="s">
        <v>76</v>
      </c>
      <c r="C15" s="7" t="s">
        <v>141</v>
      </c>
      <c r="D15" s="7" t="s">
        <v>78</v>
      </c>
      <c r="E15" s="7" t="s">
        <v>234</v>
      </c>
      <c r="F15" s="7" t="s">
        <v>119</v>
      </c>
      <c r="G15" s="7" t="s">
        <v>235</v>
      </c>
      <c r="H15" s="7" t="s">
        <v>236</v>
      </c>
      <c r="I15" s="7" t="s">
        <v>237</v>
      </c>
      <c r="J15" s="7"/>
      <c r="K15" s="7" t="s">
        <v>238</v>
      </c>
      <c r="L15" s="7" t="s">
        <v>239</v>
      </c>
      <c r="M15" s="7" t="s">
        <v>240</v>
      </c>
      <c r="N15" s="7" t="s">
        <v>92</v>
      </c>
      <c r="O15" s="7"/>
      <c r="P15" s="7" t="s">
        <v>243</v>
      </c>
      <c r="Q15" s="8" t="s">
        <v>244</v>
      </c>
      <c r="R15" s="7" t="s">
        <v>246</v>
      </c>
      <c r="S15" s="7"/>
    </row>
    <row r="16" customFormat="false" ht="35.05" hidden="false" customHeight="false" outlineLevel="0" collapsed="false">
      <c r="A16" s="7" t="s">
        <v>248</v>
      </c>
      <c r="B16" s="7" t="s">
        <v>76</v>
      </c>
      <c r="C16" s="7" t="s">
        <v>141</v>
      </c>
      <c r="D16" s="7" t="s">
        <v>78</v>
      </c>
      <c r="E16" s="7" t="s">
        <v>249</v>
      </c>
      <c r="F16" s="7" t="s">
        <v>119</v>
      </c>
      <c r="G16" s="7" t="s">
        <v>85</v>
      </c>
      <c r="H16" s="7" t="s">
        <v>105</v>
      </c>
      <c r="I16" s="7" t="s">
        <v>87</v>
      </c>
      <c r="J16" s="7"/>
      <c r="K16" s="7"/>
      <c r="L16" s="7" t="s">
        <v>251</v>
      </c>
      <c r="M16" s="7" t="s">
        <v>144</v>
      </c>
      <c r="N16" s="7" t="s">
        <v>92</v>
      </c>
      <c r="O16" s="7"/>
      <c r="P16" s="7"/>
      <c r="Q16" s="8" t="s">
        <v>253</v>
      </c>
      <c r="R16" s="7"/>
      <c r="S16" s="7"/>
    </row>
    <row r="17" customFormat="false" ht="23.85" hidden="false" customHeight="false" outlineLevel="0" collapsed="false">
      <c r="A17" s="7" t="s">
        <v>255</v>
      </c>
      <c r="B17" s="7" t="s">
        <v>76</v>
      </c>
      <c r="C17" s="7" t="s">
        <v>141</v>
      </c>
      <c r="D17" s="7" t="s">
        <v>78</v>
      </c>
      <c r="E17" s="7" t="s">
        <v>256</v>
      </c>
      <c r="F17" s="7" t="s">
        <v>83</v>
      </c>
      <c r="G17" s="7" t="s">
        <v>85</v>
      </c>
      <c r="H17" s="7" t="s">
        <v>259</v>
      </c>
      <c r="I17" s="7" t="s">
        <v>260</v>
      </c>
      <c r="J17" s="7"/>
      <c r="K17" s="7" t="s">
        <v>261</v>
      </c>
      <c r="L17" s="7" t="s">
        <v>262</v>
      </c>
      <c r="M17" s="7" t="s">
        <v>263</v>
      </c>
      <c r="N17" s="7" t="s">
        <v>109</v>
      </c>
      <c r="O17" s="7" t="s">
        <v>266</v>
      </c>
      <c r="P17" s="7" t="s">
        <v>268</v>
      </c>
      <c r="Q17" s="8" t="s">
        <v>269</v>
      </c>
      <c r="R17" s="7"/>
      <c r="S17" s="7"/>
    </row>
    <row r="18" customFormat="false" ht="23.85" hidden="false" customHeight="false" outlineLevel="0" collapsed="false">
      <c r="A18" s="7" t="s">
        <v>271</v>
      </c>
      <c r="B18" s="7" t="s">
        <v>76</v>
      </c>
      <c r="C18" s="7" t="s">
        <v>141</v>
      </c>
      <c r="D18" s="7" t="s">
        <v>78</v>
      </c>
      <c r="E18" s="7" t="s">
        <v>272</v>
      </c>
      <c r="F18" s="7" t="s">
        <v>83</v>
      </c>
      <c r="G18" s="7" t="s">
        <v>85</v>
      </c>
      <c r="H18" s="7" t="s">
        <v>274</v>
      </c>
      <c r="I18" s="7" t="s">
        <v>87</v>
      </c>
      <c r="J18" s="7" t="s">
        <v>275</v>
      </c>
      <c r="K18" s="7" t="s">
        <v>276</v>
      </c>
      <c r="L18" s="7" t="s">
        <v>277</v>
      </c>
      <c r="M18" s="7" t="s">
        <v>278</v>
      </c>
      <c r="N18" s="7" t="s">
        <v>109</v>
      </c>
      <c r="O18" s="7" t="s">
        <v>281</v>
      </c>
      <c r="P18" s="7" t="s">
        <v>283</v>
      </c>
      <c r="Q18" s="8" t="s">
        <v>284</v>
      </c>
      <c r="R18" s="7" t="s">
        <v>285</v>
      </c>
      <c r="S18" s="7"/>
    </row>
    <row r="19" customFormat="false" ht="23.85" hidden="false" customHeight="false" outlineLevel="0" collapsed="false">
      <c r="A19" s="7" t="s">
        <v>287</v>
      </c>
      <c r="B19" s="7" t="s">
        <v>76</v>
      </c>
      <c r="C19" s="7" t="s">
        <v>141</v>
      </c>
      <c r="D19" s="7" t="s">
        <v>78</v>
      </c>
      <c r="E19" s="7" t="s">
        <v>288</v>
      </c>
      <c r="F19" s="7" t="s">
        <v>290</v>
      </c>
      <c r="G19" s="7" t="s">
        <v>291</v>
      </c>
      <c r="H19" s="7" t="s">
        <v>292</v>
      </c>
      <c r="I19" s="7" t="s">
        <v>293</v>
      </c>
      <c r="J19" s="7"/>
      <c r="K19" s="7" t="s">
        <v>294</v>
      </c>
      <c r="L19" s="7" t="s">
        <v>295</v>
      </c>
      <c r="M19" s="7" t="s">
        <v>296</v>
      </c>
      <c r="N19" s="7" t="s">
        <v>92</v>
      </c>
      <c r="O19" s="7" t="s">
        <v>299</v>
      </c>
      <c r="P19" s="7" t="s">
        <v>300</v>
      </c>
      <c r="Q19" s="8" t="s">
        <v>301</v>
      </c>
      <c r="R19" s="7" t="s">
        <v>302</v>
      </c>
      <c r="S19" s="7"/>
    </row>
    <row r="20" customFormat="false" ht="35.05" hidden="false" customHeight="false" outlineLevel="0" collapsed="false">
      <c r="A20" s="7" t="s">
        <v>304</v>
      </c>
      <c r="B20" s="7" t="s">
        <v>76</v>
      </c>
      <c r="C20" s="7" t="s">
        <v>141</v>
      </c>
      <c r="D20" s="7" t="s">
        <v>78</v>
      </c>
      <c r="E20" s="7" t="s">
        <v>305</v>
      </c>
      <c r="F20" s="7" t="s">
        <v>308</v>
      </c>
      <c r="G20" s="7" t="s">
        <v>85</v>
      </c>
      <c r="H20" s="7" t="s">
        <v>310</v>
      </c>
      <c r="I20" s="7" t="s">
        <v>87</v>
      </c>
      <c r="J20" s="7"/>
      <c r="K20" s="7"/>
      <c r="L20" s="7" t="s">
        <v>88</v>
      </c>
      <c r="M20" s="7" t="s">
        <v>144</v>
      </c>
      <c r="N20" s="7" t="s">
        <v>109</v>
      </c>
      <c r="O20" s="7" t="s">
        <v>313</v>
      </c>
      <c r="P20" s="7"/>
      <c r="Q20" s="8" t="s">
        <v>314</v>
      </c>
      <c r="R20" s="7"/>
      <c r="S20" s="7"/>
    </row>
    <row r="21" customFormat="false" ht="35.05" hidden="false" customHeight="false" outlineLevel="0" collapsed="false">
      <c r="A21" s="7" t="s">
        <v>316</v>
      </c>
      <c r="B21" s="7" t="s">
        <v>76</v>
      </c>
      <c r="C21" s="7" t="s">
        <v>141</v>
      </c>
      <c r="D21" s="7" t="s">
        <v>78</v>
      </c>
      <c r="E21" s="7" t="s">
        <v>317</v>
      </c>
      <c r="F21" s="7" t="s">
        <v>319</v>
      </c>
      <c r="G21" s="7" t="s">
        <v>85</v>
      </c>
      <c r="H21" s="7" t="s">
        <v>321</v>
      </c>
      <c r="I21" s="7" t="s">
        <v>87</v>
      </c>
      <c r="J21" s="7" t="s">
        <v>322</v>
      </c>
      <c r="K21" s="7" t="s">
        <v>323</v>
      </c>
      <c r="L21" s="7" t="s">
        <v>324</v>
      </c>
      <c r="M21" s="7" t="s">
        <v>325</v>
      </c>
      <c r="N21" s="7" t="s">
        <v>109</v>
      </c>
      <c r="O21" s="7" t="s">
        <v>328</v>
      </c>
      <c r="P21" s="7"/>
      <c r="Q21" s="8" t="s">
        <v>330</v>
      </c>
      <c r="R21" s="7" t="s">
        <v>332</v>
      </c>
      <c r="S21" s="7"/>
    </row>
    <row r="22" customFormat="false" ht="35.05" hidden="false" customHeight="false" outlineLevel="0" collapsed="false">
      <c r="A22" s="7" t="s">
        <v>334</v>
      </c>
      <c r="B22" s="7" t="s">
        <v>76</v>
      </c>
      <c r="C22" s="7" t="s">
        <v>141</v>
      </c>
      <c r="D22" s="7" t="s">
        <v>78</v>
      </c>
      <c r="E22" s="7" t="s">
        <v>335</v>
      </c>
      <c r="F22" s="7" t="s">
        <v>319</v>
      </c>
      <c r="G22" s="7" t="s">
        <v>337</v>
      </c>
      <c r="H22" s="7" t="s">
        <v>338</v>
      </c>
      <c r="I22" s="7" t="s">
        <v>87</v>
      </c>
      <c r="J22" s="7" t="s">
        <v>339</v>
      </c>
      <c r="K22" s="7" t="s">
        <v>340</v>
      </c>
      <c r="L22" s="7" t="s">
        <v>341</v>
      </c>
      <c r="M22" s="7" t="s">
        <v>342</v>
      </c>
      <c r="N22" s="7" t="s">
        <v>92</v>
      </c>
      <c r="O22" s="7"/>
      <c r="P22" s="7" t="s">
        <v>345</v>
      </c>
      <c r="Q22" s="8" t="s">
        <v>346</v>
      </c>
      <c r="R22" s="7" t="s">
        <v>348</v>
      </c>
      <c r="S22" s="7"/>
    </row>
    <row r="23" customFormat="false" ht="23.85" hidden="false" customHeight="false" outlineLevel="0" collapsed="false">
      <c r="A23" s="7" t="s">
        <v>350</v>
      </c>
      <c r="B23" s="7" t="s">
        <v>76</v>
      </c>
      <c r="C23" s="7" t="s">
        <v>141</v>
      </c>
      <c r="D23" s="7" t="s">
        <v>78</v>
      </c>
      <c r="E23" s="7" t="s">
        <v>351</v>
      </c>
      <c r="F23" s="7" t="s">
        <v>319</v>
      </c>
      <c r="G23" s="7" t="s">
        <v>85</v>
      </c>
      <c r="H23" s="7" t="s">
        <v>353</v>
      </c>
      <c r="I23" s="7" t="s">
        <v>87</v>
      </c>
      <c r="J23" s="7" t="s">
        <v>354</v>
      </c>
      <c r="K23" s="7" t="s">
        <v>355</v>
      </c>
      <c r="L23" s="7" t="s">
        <v>356</v>
      </c>
      <c r="M23" s="7" t="s">
        <v>357</v>
      </c>
      <c r="N23" s="7" t="s">
        <v>92</v>
      </c>
      <c r="O23" s="7"/>
      <c r="P23" s="7" t="s">
        <v>361</v>
      </c>
      <c r="Q23" s="8" t="s">
        <v>362</v>
      </c>
      <c r="R23" s="7" t="s">
        <v>363</v>
      </c>
      <c r="S23" s="7"/>
    </row>
    <row r="24" customFormat="false" ht="35.05" hidden="false" customHeight="false" outlineLevel="0" collapsed="false">
      <c r="A24" s="7" t="s">
        <v>365</v>
      </c>
      <c r="B24" s="7" t="s">
        <v>76</v>
      </c>
      <c r="C24" s="7" t="s">
        <v>141</v>
      </c>
      <c r="D24" s="7" t="s">
        <v>78</v>
      </c>
      <c r="E24" s="7" t="s">
        <v>366</v>
      </c>
      <c r="F24" s="7" t="s">
        <v>103</v>
      </c>
      <c r="G24" s="7" t="s">
        <v>85</v>
      </c>
      <c r="H24" s="7" t="s">
        <v>368</v>
      </c>
      <c r="I24" s="7" t="s">
        <v>87</v>
      </c>
      <c r="J24" s="7"/>
      <c r="K24" s="7"/>
      <c r="L24" s="7" t="s">
        <v>369</v>
      </c>
      <c r="M24" s="7" t="s">
        <v>370</v>
      </c>
      <c r="N24" s="7" t="s">
        <v>92</v>
      </c>
      <c r="O24" s="7"/>
      <c r="P24" s="7" t="s">
        <v>373</v>
      </c>
      <c r="Q24" s="8" t="s">
        <v>374</v>
      </c>
      <c r="R24" s="7" t="s">
        <v>375</v>
      </c>
      <c r="S24" s="7"/>
    </row>
    <row r="25" customFormat="false" ht="35.05" hidden="false" customHeight="false" outlineLevel="0" collapsed="false">
      <c r="A25" s="7" t="s">
        <v>377</v>
      </c>
      <c r="B25" s="7" t="s">
        <v>76</v>
      </c>
      <c r="C25" s="7" t="s">
        <v>141</v>
      </c>
      <c r="D25" s="7" t="s">
        <v>78</v>
      </c>
      <c r="E25" s="7" t="s">
        <v>378</v>
      </c>
      <c r="F25" s="7" t="s">
        <v>103</v>
      </c>
      <c r="G25" s="7" t="s">
        <v>85</v>
      </c>
      <c r="H25" s="7" t="s">
        <v>381</v>
      </c>
      <c r="I25" s="7" t="s">
        <v>87</v>
      </c>
      <c r="J25" s="7"/>
      <c r="K25" s="7"/>
      <c r="L25" s="7" t="s">
        <v>88</v>
      </c>
      <c r="M25" s="7" t="s">
        <v>144</v>
      </c>
      <c r="N25" s="7" t="s">
        <v>92</v>
      </c>
      <c r="O25" s="7"/>
      <c r="P25" s="7"/>
      <c r="Q25" s="8" t="s">
        <v>383</v>
      </c>
      <c r="R25" s="7" t="s">
        <v>384</v>
      </c>
      <c r="S25" s="7"/>
    </row>
    <row r="26" customFormat="false" ht="35.05" hidden="false" customHeight="false" outlineLevel="0" collapsed="false">
      <c r="A26" s="7" t="s">
        <v>386</v>
      </c>
      <c r="B26" s="7" t="s">
        <v>76</v>
      </c>
      <c r="C26" s="7" t="s">
        <v>141</v>
      </c>
      <c r="D26" s="7" t="s">
        <v>78</v>
      </c>
      <c r="E26" s="7" t="s">
        <v>387</v>
      </c>
      <c r="F26" s="7" t="s">
        <v>103</v>
      </c>
      <c r="G26" s="7" t="s">
        <v>85</v>
      </c>
      <c r="H26" s="7" t="s">
        <v>389</v>
      </c>
      <c r="I26" s="7" t="s">
        <v>87</v>
      </c>
      <c r="J26" s="7" t="s">
        <v>390</v>
      </c>
      <c r="K26" s="7" t="s">
        <v>391</v>
      </c>
      <c r="L26" s="7" t="s">
        <v>392</v>
      </c>
      <c r="M26" s="7" t="s">
        <v>393</v>
      </c>
      <c r="N26" s="7" t="s">
        <v>109</v>
      </c>
      <c r="O26" s="7" t="s">
        <v>396</v>
      </c>
      <c r="P26" s="7"/>
      <c r="Q26" s="8" t="s">
        <v>398</v>
      </c>
      <c r="R26" s="7" t="s">
        <v>399</v>
      </c>
      <c r="S26" s="7"/>
    </row>
    <row r="27" customFormat="false" ht="46.25" hidden="false" customHeight="false" outlineLevel="0" collapsed="false">
      <c r="A27" s="7" t="s">
        <v>401</v>
      </c>
      <c r="B27" s="7" t="s">
        <v>76</v>
      </c>
      <c r="C27" s="7" t="s">
        <v>141</v>
      </c>
      <c r="D27" s="7" t="s">
        <v>78</v>
      </c>
      <c r="E27" s="7" t="s">
        <v>402</v>
      </c>
      <c r="F27" s="7" t="s">
        <v>103</v>
      </c>
      <c r="G27" s="7" t="s">
        <v>404</v>
      </c>
      <c r="H27" s="7" t="s">
        <v>405</v>
      </c>
      <c r="I27" s="7" t="s">
        <v>406</v>
      </c>
      <c r="J27" s="7" t="s">
        <v>407</v>
      </c>
      <c r="K27" s="7" t="s">
        <v>408</v>
      </c>
      <c r="L27" s="7" t="s">
        <v>409</v>
      </c>
      <c r="M27" s="7" t="s">
        <v>410</v>
      </c>
      <c r="N27" s="7" t="s">
        <v>189</v>
      </c>
      <c r="O27" s="7"/>
      <c r="P27" s="7" t="s">
        <v>414</v>
      </c>
      <c r="Q27" s="8" t="s">
        <v>415</v>
      </c>
      <c r="R27" s="7" t="s">
        <v>416</v>
      </c>
      <c r="S27" s="7" t="s">
        <v>417</v>
      </c>
    </row>
    <row r="28" customFormat="false" ht="35.05" hidden="false" customHeight="false" outlineLevel="0" collapsed="false">
      <c r="A28" s="7" t="s">
        <v>419</v>
      </c>
      <c r="B28" s="7" t="s">
        <v>76</v>
      </c>
      <c r="C28" s="7" t="s">
        <v>141</v>
      </c>
      <c r="D28" s="7" t="s">
        <v>78</v>
      </c>
      <c r="E28" s="7" t="s">
        <v>420</v>
      </c>
      <c r="F28" s="7" t="s">
        <v>103</v>
      </c>
      <c r="G28" s="7" t="s">
        <v>85</v>
      </c>
      <c r="H28" s="7" t="s">
        <v>105</v>
      </c>
      <c r="I28" s="7" t="s">
        <v>87</v>
      </c>
      <c r="J28" s="7"/>
      <c r="K28" s="7"/>
      <c r="L28" s="7" t="s">
        <v>88</v>
      </c>
      <c r="M28" s="7" t="s">
        <v>144</v>
      </c>
      <c r="N28" s="7" t="s">
        <v>92</v>
      </c>
      <c r="O28" s="7"/>
      <c r="P28" s="7"/>
      <c r="Q28" s="8" t="s">
        <v>424</v>
      </c>
      <c r="R28" s="7"/>
      <c r="S28" s="7"/>
    </row>
    <row r="29" customFormat="false" ht="57.45" hidden="false" customHeight="false" outlineLevel="0" collapsed="false">
      <c r="A29" s="7" t="s">
        <v>426</v>
      </c>
      <c r="B29" s="7" t="s">
        <v>76</v>
      </c>
      <c r="C29" s="7" t="s">
        <v>141</v>
      </c>
      <c r="D29" s="7" t="s">
        <v>78</v>
      </c>
      <c r="E29" s="7" t="s">
        <v>427</v>
      </c>
      <c r="F29" s="7" t="s">
        <v>429</v>
      </c>
      <c r="G29" s="7" t="s">
        <v>85</v>
      </c>
      <c r="H29" s="7" t="s">
        <v>431</v>
      </c>
      <c r="I29" s="7" t="s">
        <v>432</v>
      </c>
      <c r="J29" s="7" t="s">
        <v>433</v>
      </c>
      <c r="K29" s="7" t="s">
        <v>434</v>
      </c>
      <c r="L29" s="7" t="s">
        <v>435</v>
      </c>
      <c r="M29" s="7" t="s">
        <v>436</v>
      </c>
      <c r="N29" s="7" t="s">
        <v>109</v>
      </c>
      <c r="O29" s="7" t="s">
        <v>439</v>
      </c>
      <c r="P29" s="7" t="s">
        <v>441</v>
      </c>
      <c r="Q29" s="8" t="s">
        <v>442</v>
      </c>
      <c r="R29" s="7" t="s">
        <v>443</v>
      </c>
      <c r="S29" s="7"/>
    </row>
    <row r="30" customFormat="false" ht="23.85" hidden="false" customHeight="false" outlineLevel="0" collapsed="false">
      <c r="A30" s="7" t="s">
        <v>445</v>
      </c>
      <c r="B30" s="7" t="s">
        <v>76</v>
      </c>
      <c r="C30" s="7" t="s">
        <v>141</v>
      </c>
      <c r="D30" s="7" t="s">
        <v>78</v>
      </c>
      <c r="E30" s="7" t="s">
        <v>446</v>
      </c>
      <c r="F30" s="7" t="s">
        <v>429</v>
      </c>
      <c r="G30" s="7" t="s">
        <v>85</v>
      </c>
      <c r="H30" s="7" t="s">
        <v>447</v>
      </c>
      <c r="I30" s="7" t="s">
        <v>87</v>
      </c>
      <c r="J30" s="7"/>
      <c r="K30" s="7" t="s">
        <v>448</v>
      </c>
      <c r="L30" s="7" t="s">
        <v>449</v>
      </c>
      <c r="M30" s="7" t="s">
        <v>450</v>
      </c>
      <c r="N30" s="7" t="s">
        <v>92</v>
      </c>
      <c r="O30" s="7"/>
      <c r="P30" s="7" t="s">
        <v>453</v>
      </c>
      <c r="Q30" s="8" t="s">
        <v>454</v>
      </c>
      <c r="R30" s="7" t="s">
        <v>455</v>
      </c>
      <c r="S30" s="7"/>
    </row>
    <row r="31" customFormat="false" ht="35.05" hidden="false" customHeight="false" outlineLevel="0" collapsed="false">
      <c r="A31" s="7" t="s">
        <v>457</v>
      </c>
      <c r="B31" s="7" t="s">
        <v>76</v>
      </c>
      <c r="C31" s="7" t="s">
        <v>141</v>
      </c>
      <c r="D31" s="7" t="s">
        <v>78</v>
      </c>
      <c r="E31" s="7" t="s">
        <v>458</v>
      </c>
      <c r="F31" s="7" t="s">
        <v>460</v>
      </c>
      <c r="G31" s="7" t="s">
        <v>85</v>
      </c>
      <c r="H31" s="7" t="s">
        <v>105</v>
      </c>
      <c r="I31" s="7" t="s">
        <v>87</v>
      </c>
      <c r="J31" s="7"/>
      <c r="K31" s="7"/>
      <c r="L31" s="7" t="s">
        <v>88</v>
      </c>
      <c r="M31" s="7" t="s">
        <v>144</v>
      </c>
      <c r="N31" s="7" t="s">
        <v>92</v>
      </c>
      <c r="O31" s="7"/>
      <c r="P31" s="7"/>
      <c r="Q31" s="8" t="s">
        <v>462</v>
      </c>
      <c r="R31" s="7"/>
      <c r="S31" s="7"/>
    </row>
    <row r="32" customFormat="false" ht="35.05" hidden="false" customHeight="false" outlineLevel="0" collapsed="false">
      <c r="A32" s="7" t="s">
        <v>463</v>
      </c>
      <c r="B32" s="7" t="s">
        <v>76</v>
      </c>
      <c r="C32" s="7" t="s">
        <v>141</v>
      </c>
      <c r="D32" s="7" t="s">
        <v>78</v>
      </c>
      <c r="E32" s="7" t="s">
        <v>464</v>
      </c>
      <c r="F32" s="7" t="s">
        <v>460</v>
      </c>
      <c r="G32" s="7" t="s">
        <v>85</v>
      </c>
      <c r="H32" s="7" t="s">
        <v>466</v>
      </c>
      <c r="I32" s="7" t="s">
        <v>87</v>
      </c>
      <c r="J32" s="7"/>
      <c r="K32" s="7"/>
      <c r="L32" s="7" t="s">
        <v>88</v>
      </c>
      <c r="M32" s="7" t="s">
        <v>144</v>
      </c>
      <c r="N32" s="7" t="s">
        <v>92</v>
      </c>
      <c r="O32" s="7"/>
      <c r="P32" s="7"/>
      <c r="Q32" s="8" t="s">
        <v>462</v>
      </c>
      <c r="R32" s="7" t="s">
        <v>468</v>
      </c>
      <c r="S32" s="7"/>
    </row>
    <row r="33" customFormat="false" ht="23.85" hidden="false" customHeight="false" outlineLevel="0" collapsed="false">
      <c r="A33" s="7" t="s">
        <v>470</v>
      </c>
      <c r="B33" s="7" t="s">
        <v>76</v>
      </c>
      <c r="C33" s="7" t="s">
        <v>141</v>
      </c>
      <c r="D33" s="7" t="s">
        <v>78</v>
      </c>
      <c r="E33" s="7" t="s">
        <v>471</v>
      </c>
      <c r="F33" s="7" t="s">
        <v>474</v>
      </c>
      <c r="G33" s="7" t="s">
        <v>85</v>
      </c>
      <c r="H33" s="7" t="s">
        <v>476</v>
      </c>
      <c r="I33" s="7" t="s">
        <v>87</v>
      </c>
      <c r="J33" s="7"/>
      <c r="K33" s="7" t="s">
        <v>477</v>
      </c>
      <c r="L33" s="7" t="s">
        <v>478</v>
      </c>
      <c r="M33" s="7" t="s">
        <v>479</v>
      </c>
      <c r="N33" s="7" t="s">
        <v>92</v>
      </c>
      <c r="O33" s="7"/>
      <c r="P33" s="7" t="s">
        <v>482</v>
      </c>
      <c r="Q33" s="8" t="s">
        <v>483</v>
      </c>
      <c r="R33" s="7" t="s">
        <v>484</v>
      </c>
      <c r="S33" s="7"/>
    </row>
    <row r="34" customFormat="false" ht="35.05" hidden="false" customHeight="false" outlineLevel="0" collapsed="false">
      <c r="A34" s="7" t="s">
        <v>486</v>
      </c>
      <c r="B34" s="7" t="s">
        <v>76</v>
      </c>
      <c r="C34" s="7" t="s">
        <v>141</v>
      </c>
      <c r="D34" s="7" t="s">
        <v>98</v>
      </c>
      <c r="E34" s="7" t="s">
        <v>487</v>
      </c>
      <c r="F34" s="7" t="s">
        <v>119</v>
      </c>
      <c r="G34" s="7" t="s">
        <v>85</v>
      </c>
      <c r="H34" s="7" t="s">
        <v>489</v>
      </c>
      <c r="I34" s="7" t="s">
        <v>87</v>
      </c>
      <c r="J34" s="7" t="s">
        <v>490</v>
      </c>
      <c r="K34" s="7"/>
      <c r="L34" s="7" t="s">
        <v>491</v>
      </c>
      <c r="M34" s="7" t="s">
        <v>492</v>
      </c>
      <c r="N34" s="7" t="s">
        <v>92</v>
      </c>
      <c r="O34" s="7"/>
      <c r="P34" s="7" t="s">
        <v>494</v>
      </c>
      <c r="Q34" s="8" t="s">
        <v>495</v>
      </c>
      <c r="R34" s="7" t="s">
        <v>496</v>
      </c>
      <c r="S34" s="7"/>
    </row>
    <row r="35" customFormat="false" ht="35.05" hidden="false" customHeight="false" outlineLevel="0" collapsed="false">
      <c r="A35" s="7" t="s">
        <v>498</v>
      </c>
      <c r="B35" s="7" t="s">
        <v>76</v>
      </c>
      <c r="C35" s="7" t="s">
        <v>141</v>
      </c>
      <c r="D35" s="7" t="s">
        <v>98</v>
      </c>
      <c r="E35" s="7" t="s">
        <v>499</v>
      </c>
      <c r="F35" s="7" t="s">
        <v>119</v>
      </c>
      <c r="G35" s="7" t="s">
        <v>85</v>
      </c>
      <c r="H35" s="7" t="s">
        <v>501</v>
      </c>
      <c r="I35" s="7" t="s">
        <v>87</v>
      </c>
      <c r="J35" s="7"/>
      <c r="K35" s="7"/>
      <c r="L35" s="7" t="s">
        <v>106</v>
      </c>
      <c r="M35" s="7" t="s">
        <v>144</v>
      </c>
      <c r="N35" s="7" t="s">
        <v>109</v>
      </c>
      <c r="O35" s="7" t="s">
        <v>504</v>
      </c>
      <c r="P35" s="7" t="s">
        <v>506</v>
      </c>
      <c r="Q35" s="8" t="s">
        <v>507</v>
      </c>
      <c r="R35" s="7" t="s">
        <v>508</v>
      </c>
      <c r="S35" s="7"/>
    </row>
    <row r="36" customFormat="false" ht="35.05" hidden="false" customHeight="false" outlineLevel="0" collapsed="false">
      <c r="A36" s="7" t="s">
        <v>510</v>
      </c>
      <c r="B36" s="7" t="s">
        <v>76</v>
      </c>
      <c r="C36" s="7" t="s">
        <v>141</v>
      </c>
      <c r="D36" s="7" t="s">
        <v>98</v>
      </c>
      <c r="E36" s="7" t="s">
        <v>511</v>
      </c>
      <c r="F36" s="7" t="s">
        <v>119</v>
      </c>
      <c r="G36" s="7" t="s">
        <v>85</v>
      </c>
      <c r="H36" s="7" t="s">
        <v>513</v>
      </c>
      <c r="I36" s="7" t="s">
        <v>87</v>
      </c>
      <c r="J36" s="7"/>
      <c r="K36" s="7" t="s">
        <v>514</v>
      </c>
      <c r="L36" s="7" t="s">
        <v>106</v>
      </c>
      <c r="M36" s="7" t="s">
        <v>515</v>
      </c>
      <c r="N36" s="7" t="s">
        <v>92</v>
      </c>
      <c r="O36" s="7"/>
      <c r="P36" s="7"/>
      <c r="Q36" s="8" t="s">
        <v>517</v>
      </c>
      <c r="R36" s="7"/>
      <c r="S36" s="7"/>
    </row>
    <row r="37" customFormat="false" ht="35.05" hidden="false" customHeight="false" outlineLevel="0" collapsed="false">
      <c r="A37" s="7" t="s">
        <v>519</v>
      </c>
      <c r="B37" s="7" t="s">
        <v>76</v>
      </c>
      <c r="C37" s="7" t="s">
        <v>141</v>
      </c>
      <c r="D37" s="7" t="s">
        <v>98</v>
      </c>
      <c r="E37" s="7" t="s">
        <v>520</v>
      </c>
      <c r="F37" s="7" t="s">
        <v>119</v>
      </c>
      <c r="G37" s="7" t="s">
        <v>85</v>
      </c>
      <c r="H37" s="7" t="s">
        <v>105</v>
      </c>
      <c r="I37" s="7" t="s">
        <v>87</v>
      </c>
      <c r="J37" s="7"/>
      <c r="K37" s="7"/>
      <c r="L37" s="7" t="s">
        <v>106</v>
      </c>
      <c r="M37" s="7" t="s">
        <v>144</v>
      </c>
      <c r="N37" s="7" t="s">
        <v>92</v>
      </c>
      <c r="O37" s="7"/>
      <c r="P37" s="7"/>
      <c r="Q37" s="8" t="s">
        <v>213</v>
      </c>
      <c r="R37" s="7"/>
      <c r="S37" s="7"/>
    </row>
    <row r="38" customFormat="false" ht="23.85" hidden="false" customHeight="false" outlineLevel="0" collapsed="false">
      <c r="A38" s="7" t="s">
        <v>522</v>
      </c>
      <c r="B38" s="7" t="s">
        <v>76</v>
      </c>
      <c r="C38" s="7" t="s">
        <v>141</v>
      </c>
      <c r="D38" s="7" t="s">
        <v>98</v>
      </c>
      <c r="E38" s="7" t="s">
        <v>523</v>
      </c>
      <c r="F38" s="7" t="s">
        <v>119</v>
      </c>
      <c r="G38" s="7" t="s">
        <v>85</v>
      </c>
      <c r="H38" s="7" t="s">
        <v>525</v>
      </c>
      <c r="I38" s="7" t="s">
        <v>87</v>
      </c>
      <c r="J38" s="7" t="s">
        <v>526</v>
      </c>
      <c r="K38" s="7" t="s">
        <v>527</v>
      </c>
      <c r="L38" s="7" t="s">
        <v>528</v>
      </c>
      <c r="M38" s="7" t="s">
        <v>529</v>
      </c>
      <c r="N38" s="7" t="s">
        <v>92</v>
      </c>
      <c r="O38" s="7"/>
      <c r="P38" s="7" t="s">
        <v>531</v>
      </c>
      <c r="Q38" s="8" t="s">
        <v>532</v>
      </c>
      <c r="R38" s="7" t="s">
        <v>533</v>
      </c>
      <c r="S38" s="7"/>
    </row>
    <row r="39" customFormat="false" ht="35.05" hidden="false" customHeight="false" outlineLevel="0" collapsed="false">
      <c r="A39" s="7" t="s">
        <v>535</v>
      </c>
      <c r="B39" s="7" t="s">
        <v>76</v>
      </c>
      <c r="C39" s="7" t="s">
        <v>141</v>
      </c>
      <c r="D39" s="7" t="s">
        <v>98</v>
      </c>
      <c r="E39" s="7" t="s">
        <v>536</v>
      </c>
      <c r="F39" s="7" t="s">
        <v>319</v>
      </c>
      <c r="G39" s="7" t="s">
        <v>85</v>
      </c>
      <c r="H39" s="7" t="s">
        <v>537</v>
      </c>
      <c r="I39" s="7" t="s">
        <v>87</v>
      </c>
      <c r="J39" s="7"/>
      <c r="K39" s="7"/>
      <c r="L39" s="7" t="s">
        <v>106</v>
      </c>
      <c r="M39" s="7" t="s">
        <v>144</v>
      </c>
      <c r="N39" s="7" t="s">
        <v>92</v>
      </c>
      <c r="O39" s="7"/>
      <c r="P39" s="7" t="s">
        <v>539</v>
      </c>
      <c r="Q39" s="8" t="s">
        <v>540</v>
      </c>
      <c r="R39" s="7" t="s">
        <v>542</v>
      </c>
      <c r="S39" s="7"/>
    </row>
    <row r="40" customFormat="false" ht="35.05" hidden="false" customHeight="false" outlineLevel="0" collapsed="false">
      <c r="A40" s="7" t="s">
        <v>544</v>
      </c>
      <c r="B40" s="7" t="s">
        <v>76</v>
      </c>
      <c r="C40" s="7" t="s">
        <v>141</v>
      </c>
      <c r="D40" s="7" t="s">
        <v>98</v>
      </c>
      <c r="E40" s="7" t="s">
        <v>545</v>
      </c>
      <c r="F40" s="7" t="s">
        <v>103</v>
      </c>
      <c r="G40" s="7" t="s">
        <v>85</v>
      </c>
      <c r="H40" s="7" t="s">
        <v>547</v>
      </c>
      <c r="I40" s="7" t="s">
        <v>87</v>
      </c>
      <c r="J40" s="7" t="s">
        <v>490</v>
      </c>
      <c r="K40" s="7"/>
      <c r="L40" s="7" t="s">
        <v>106</v>
      </c>
      <c r="M40" s="7" t="s">
        <v>144</v>
      </c>
      <c r="N40" s="7" t="s">
        <v>92</v>
      </c>
      <c r="O40" s="7"/>
      <c r="P40" s="7"/>
      <c r="Q40" s="8" t="s">
        <v>550</v>
      </c>
      <c r="R40" s="7"/>
      <c r="S40" s="7"/>
    </row>
    <row r="41" customFormat="false" ht="35.05" hidden="false" customHeight="false" outlineLevel="0" collapsed="false">
      <c r="A41" s="7" t="s">
        <v>551</v>
      </c>
      <c r="B41" s="7" t="s">
        <v>76</v>
      </c>
      <c r="C41" s="7" t="s">
        <v>141</v>
      </c>
      <c r="D41" s="7" t="s">
        <v>98</v>
      </c>
      <c r="E41" s="7" t="s">
        <v>552</v>
      </c>
      <c r="F41" s="7" t="s">
        <v>103</v>
      </c>
      <c r="G41" s="7" t="s">
        <v>85</v>
      </c>
      <c r="H41" s="7" t="s">
        <v>554</v>
      </c>
      <c r="I41" s="7" t="s">
        <v>87</v>
      </c>
      <c r="J41" s="7"/>
      <c r="K41" s="7"/>
      <c r="L41" s="7" t="s">
        <v>106</v>
      </c>
      <c r="M41" s="7" t="s">
        <v>144</v>
      </c>
      <c r="N41" s="7" t="s">
        <v>92</v>
      </c>
      <c r="O41" s="7"/>
      <c r="P41" s="7"/>
      <c r="Q41" s="8" t="s">
        <v>556</v>
      </c>
      <c r="R41" s="7"/>
      <c r="S41" s="7"/>
    </row>
    <row r="42" customFormat="false" ht="35.05" hidden="false" customHeight="false" outlineLevel="0" collapsed="false">
      <c r="A42" s="7" t="s">
        <v>558</v>
      </c>
      <c r="B42" s="7" t="s">
        <v>76</v>
      </c>
      <c r="C42" s="7" t="s">
        <v>141</v>
      </c>
      <c r="D42" s="7" t="s">
        <v>98</v>
      </c>
      <c r="E42" s="7" t="s">
        <v>559</v>
      </c>
      <c r="F42" s="7" t="s">
        <v>103</v>
      </c>
      <c r="G42" s="7" t="s">
        <v>85</v>
      </c>
      <c r="H42" s="7" t="s">
        <v>105</v>
      </c>
      <c r="I42" s="7" t="s">
        <v>87</v>
      </c>
      <c r="J42" s="7"/>
      <c r="K42" s="7"/>
      <c r="L42" s="7" t="s">
        <v>106</v>
      </c>
      <c r="M42" s="7" t="s">
        <v>144</v>
      </c>
      <c r="N42" s="7" t="s">
        <v>92</v>
      </c>
      <c r="O42" s="7"/>
      <c r="P42" s="7"/>
      <c r="Q42" s="8" t="s">
        <v>374</v>
      </c>
      <c r="R42" s="7"/>
      <c r="S42" s="7"/>
    </row>
    <row r="43" customFormat="false" ht="35.05" hidden="false" customHeight="false" outlineLevel="0" collapsed="false">
      <c r="A43" s="7" t="s">
        <v>563</v>
      </c>
      <c r="B43" s="7" t="s">
        <v>76</v>
      </c>
      <c r="C43" s="7" t="s">
        <v>141</v>
      </c>
      <c r="D43" s="7" t="s">
        <v>98</v>
      </c>
      <c r="E43" s="7" t="s">
        <v>564</v>
      </c>
      <c r="F43" s="7" t="s">
        <v>429</v>
      </c>
      <c r="G43" s="7" t="s">
        <v>85</v>
      </c>
      <c r="H43" s="7" t="s">
        <v>566</v>
      </c>
      <c r="I43" s="7" t="s">
        <v>87</v>
      </c>
      <c r="J43" s="7"/>
      <c r="K43" s="7" t="s">
        <v>567</v>
      </c>
      <c r="L43" s="7" t="s">
        <v>568</v>
      </c>
      <c r="M43" s="7" t="s">
        <v>144</v>
      </c>
      <c r="N43" s="7" t="s">
        <v>92</v>
      </c>
      <c r="O43" s="7"/>
      <c r="P43" s="7"/>
      <c r="Q43" s="8" t="s">
        <v>570</v>
      </c>
      <c r="R43" s="7" t="s">
        <v>571</v>
      </c>
      <c r="S43" s="7"/>
    </row>
    <row r="44" customFormat="false" ht="35.05" hidden="false" customHeight="false" outlineLevel="0" collapsed="false">
      <c r="A44" s="7" t="s">
        <v>573</v>
      </c>
      <c r="B44" s="7" t="s">
        <v>76</v>
      </c>
      <c r="C44" s="7" t="s">
        <v>141</v>
      </c>
      <c r="D44" s="7" t="s">
        <v>98</v>
      </c>
      <c r="E44" s="7" t="s">
        <v>574</v>
      </c>
      <c r="F44" s="7" t="s">
        <v>429</v>
      </c>
      <c r="G44" s="7" t="s">
        <v>85</v>
      </c>
      <c r="H44" s="7" t="s">
        <v>576</v>
      </c>
      <c r="I44" s="7" t="s">
        <v>87</v>
      </c>
      <c r="J44" s="7" t="s">
        <v>577</v>
      </c>
      <c r="K44" s="7"/>
      <c r="L44" s="7" t="s">
        <v>578</v>
      </c>
      <c r="M44" s="7" t="s">
        <v>144</v>
      </c>
      <c r="N44" s="7" t="s">
        <v>92</v>
      </c>
      <c r="O44" s="7"/>
      <c r="P44" s="7"/>
      <c r="Q44" s="8" t="s">
        <v>556</v>
      </c>
      <c r="R44" s="7" t="s">
        <v>581</v>
      </c>
      <c r="S44" s="7"/>
    </row>
    <row r="45" customFormat="false" ht="35.05" hidden="false" customHeight="false" outlineLevel="0" collapsed="false">
      <c r="A45" s="7" t="s">
        <v>583</v>
      </c>
      <c r="B45" s="7" t="s">
        <v>76</v>
      </c>
      <c r="C45" s="7" t="s">
        <v>141</v>
      </c>
      <c r="D45" s="7" t="s">
        <v>98</v>
      </c>
      <c r="E45" s="7" t="s">
        <v>584</v>
      </c>
      <c r="F45" s="7" t="s">
        <v>460</v>
      </c>
      <c r="G45" s="7" t="s">
        <v>85</v>
      </c>
      <c r="H45" s="7" t="s">
        <v>105</v>
      </c>
      <c r="I45" s="7" t="s">
        <v>87</v>
      </c>
      <c r="J45" s="7"/>
      <c r="K45" s="7"/>
      <c r="L45" s="7" t="s">
        <v>106</v>
      </c>
      <c r="M45" s="7" t="s">
        <v>144</v>
      </c>
      <c r="N45" s="7" t="s">
        <v>92</v>
      </c>
      <c r="O45" s="7"/>
      <c r="P45" s="7"/>
      <c r="Q45" s="8" t="s">
        <v>462</v>
      </c>
      <c r="R45" s="7"/>
      <c r="S45" s="7"/>
    </row>
    <row r="46" customFormat="false" ht="35.05" hidden="false" customHeight="false" outlineLevel="0" collapsed="false">
      <c r="A46" s="7" t="s">
        <v>587</v>
      </c>
      <c r="B46" s="7" t="s">
        <v>76</v>
      </c>
      <c r="C46" s="7" t="s">
        <v>141</v>
      </c>
      <c r="D46" s="7" t="s">
        <v>98</v>
      </c>
      <c r="E46" s="7" t="s">
        <v>588</v>
      </c>
      <c r="F46" s="7" t="s">
        <v>590</v>
      </c>
      <c r="G46" s="7" t="s">
        <v>85</v>
      </c>
      <c r="H46" s="7" t="s">
        <v>105</v>
      </c>
      <c r="I46" s="7" t="s">
        <v>87</v>
      </c>
      <c r="J46" s="7"/>
      <c r="K46" s="7"/>
      <c r="L46" s="7" t="s">
        <v>592</v>
      </c>
      <c r="M46" s="7" t="s">
        <v>144</v>
      </c>
      <c r="N46" s="7" t="s">
        <v>92</v>
      </c>
      <c r="O46" s="7"/>
      <c r="P46" s="7" t="s">
        <v>594</v>
      </c>
      <c r="Q46" s="8" t="s">
        <v>595</v>
      </c>
      <c r="R46" s="7" t="s">
        <v>596</v>
      </c>
      <c r="S46" s="7"/>
    </row>
    <row r="47" customFormat="false" ht="35.05" hidden="false" customHeight="false" outlineLevel="0" collapsed="false">
      <c r="A47" s="7" t="s">
        <v>598</v>
      </c>
      <c r="B47" s="7" t="s">
        <v>76</v>
      </c>
      <c r="C47" s="7" t="s">
        <v>141</v>
      </c>
      <c r="D47" s="7" t="s">
        <v>98</v>
      </c>
      <c r="E47" s="7" t="s">
        <v>599</v>
      </c>
      <c r="F47" s="7" t="s">
        <v>601</v>
      </c>
      <c r="G47" s="7" t="s">
        <v>85</v>
      </c>
      <c r="H47" s="7" t="s">
        <v>105</v>
      </c>
      <c r="I47" s="7" t="s">
        <v>87</v>
      </c>
      <c r="J47" s="7"/>
      <c r="K47" s="7"/>
      <c r="L47" s="7" t="s">
        <v>106</v>
      </c>
      <c r="M47" s="7" t="s">
        <v>144</v>
      </c>
      <c r="N47" s="7" t="s">
        <v>109</v>
      </c>
      <c r="O47" s="7" t="s">
        <v>603</v>
      </c>
      <c r="P47" s="7"/>
      <c r="Q47" s="8" t="s">
        <v>604</v>
      </c>
      <c r="R47" s="7"/>
      <c r="S47" s="7"/>
    </row>
    <row r="48" customFormat="false" ht="35.05" hidden="false" customHeight="false" outlineLevel="0" collapsed="false">
      <c r="A48" s="7" t="s">
        <v>605</v>
      </c>
      <c r="B48" s="7" t="s">
        <v>116</v>
      </c>
      <c r="C48" s="7" t="s">
        <v>141</v>
      </c>
      <c r="D48" s="7" t="s">
        <v>98</v>
      </c>
      <c r="E48" s="7" t="s">
        <v>606</v>
      </c>
      <c r="F48" s="7" t="s">
        <v>119</v>
      </c>
      <c r="G48" s="7" t="s">
        <v>85</v>
      </c>
      <c r="H48" s="7" t="s">
        <v>608</v>
      </c>
      <c r="I48" s="7" t="s">
        <v>87</v>
      </c>
      <c r="J48" s="7"/>
      <c r="K48" s="7"/>
      <c r="L48" s="7" t="s">
        <v>106</v>
      </c>
      <c r="M48" s="7" t="s">
        <v>144</v>
      </c>
      <c r="N48" s="7" t="s">
        <v>92</v>
      </c>
      <c r="O48" s="7"/>
      <c r="P48" s="7"/>
      <c r="Q48" s="8" t="s">
        <v>611</v>
      </c>
      <c r="R48" s="7" t="s">
        <v>612</v>
      </c>
      <c r="S48" s="7"/>
    </row>
    <row r="49" customFormat="false" ht="35.05" hidden="false" customHeight="false" outlineLevel="0" collapsed="false">
      <c r="A49" s="7" t="s">
        <v>614</v>
      </c>
      <c r="B49" s="7" t="s">
        <v>116</v>
      </c>
      <c r="C49" s="7" t="s">
        <v>141</v>
      </c>
      <c r="D49" s="7" t="s">
        <v>98</v>
      </c>
      <c r="E49" s="7" t="s">
        <v>615</v>
      </c>
      <c r="F49" s="7" t="s">
        <v>119</v>
      </c>
      <c r="G49" s="7" t="s">
        <v>85</v>
      </c>
      <c r="H49" s="7" t="s">
        <v>616</v>
      </c>
      <c r="I49" s="7" t="s">
        <v>87</v>
      </c>
      <c r="J49" s="7"/>
      <c r="K49" s="7"/>
      <c r="L49" s="7" t="s">
        <v>106</v>
      </c>
      <c r="M49" s="7" t="s">
        <v>144</v>
      </c>
      <c r="N49" s="7" t="s">
        <v>92</v>
      </c>
      <c r="O49" s="7"/>
      <c r="P49" s="7"/>
      <c r="Q49" s="8" t="s">
        <v>619</v>
      </c>
      <c r="R49" s="7"/>
      <c r="S49" s="7"/>
    </row>
    <row r="50" customFormat="false" ht="35.05" hidden="false" customHeight="false" outlineLevel="0" collapsed="false">
      <c r="A50" s="7" t="s">
        <v>622</v>
      </c>
      <c r="B50" s="7" t="s">
        <v>116</v>
      </c>
      <c r="C50" s="7" t="s">
        <v>141</v>
      </c>
      <c r="D50" s="7" t="s">
        <v>98</v>
      </c>
      <c r="E50" s="7" t="s">
        <v>623</v>
      </c>
      <c r="F50" s="7" t="s">
        <v>119</v>
      </c>
      <c r="G50" s="7" t="s">
        <v>85</v>
      </c>
      <c r="H50" s="7" t="s">
        <v>105</v>
      </c>
      <c r="I50" s="7" t="s">
        <v>87</v>
      </c>
      <c r="J50" s="7"/>
      <c r="K50" s="7"/>
      <c r="L50" s="7" t="s">
        <v>106</v>
      </c>
      <c r="M50" s="7" t="s">
        <v>144</v>
      </c>
      <c r="N50" s="7" t="s">
        <v>92</v>
      </c>
      <c r="O50" s="7"/>
      <c r="P50" s="7"/>
      <c r="Q50" s="8" t="s">
        <v>202</v>
      </c>
      <c r="R50" s="7" t="s">
        <v>626</v>
      </c>
      <c r="S50" s="7"/>
    </row>
    <row r="51" customFormat="false" ht="35.05" hidden="false" customHeight="false" outlineLevel="0" collapsed="false">
      <c r="A51" s="7" t="s">
        <v>628</v>
      </c>
      <c r="B51" s="7" t="s">
        <v>116</v>
      </c>
      <c r="C51" s="7" t="s">
        <v>141</v>
      </c>
      <c r="D51" s="7" t="s">
        <v>98</v>
      </c>
      <c r="E51" s="7" t="s">
        <v>629</v>
      </c>
      <c r="F51" s="7" t="s">
        <v>119</v>
      </c>
      <c r="G51" s="7" t="s">
        <v>85</v>
      </c>
      <c r="H51" s="7" t="s">
        <v>105</v>
      </c>
      <c r="I51" s="7" t="s">
        <v>87</v>
      </c>
      <c r="J51" s="7"/>
      <c r="K51" s="7"/>
      <c r="L51" s="7" t="s">
        <v>106</v>
      </c>
      <c r="M51" s="7" t="s">
        <v>144</v>
      </c>
      <c r="N51" s="7" t="s">
        <v>92</v>
      </c>
      <c r="O51" s="7"/>
      <c r="P51" s="7" t="s">
        <v>632</v>
      </c>
      <c r="Q51" s="8" t="s">
        <v>633</v>
      </c>
      <c r="R51" s="7" t="s">
        <v>634</v>
      </c>
      <c r="S51" s="7"/>
    </row>
    <row r="52" customFormat="false" ht="35.05" hidden="false" customHeight="false" outlineLevel="0" collapsed="false">
      <c r="A52" s="7" t="s">
        <v>636</v>
      </c>
      <c r="B52" s="7" t="s">
        <v>116</v>
      </c>
      <c r="C52" s="7" t="s">
        <v>141</v>
      </c>
      <c r="D52" s="7" t="s">
        <v>98</v>
      </c>
      <c r="E52" s="7" t="s">
        <v>637</v>
      </c>
      <c r="F52" s="7" t="s">
        <v>119</v>
      </c>
      <c r="G52" s="7" t="s">
        <v>85</v>
      </c>
      <c r="H52" s="7" t="s">
        <v>105</v>
      </c>
      <c r="I52" s="7" t="s">
        <v>87</v>
      </c>
      <c r="J52" s="7"/>
      <c r="K52" s="7"/>
      <c r="L52" s="7" t="s">
        <v>106</v>
      </c>
      <c r="M52" s="7" t="s">
        <v>144</v>
      </c>
      <c r="N52" s="7" t="s">
        <v>92</v>
      </c>
      <c r="O52" s="7"/>
      <c r="P52" s="7"/>
      <c r="Q52" s="8" t="s">
        <v>639</v>
      </c>
      <c r="R52" s="7"/>
      <c r="S52" s="7"/>
    </row>
    <row r="53" customFormat="false" ht="23.85" hidden="false" customHeight="false" outlineLevel="0" collapsed="false">
      <c r="A53" s="7" t="s">
        <v>642</v>
      </c>
      <c r="B53" s="7" t="s">
        <v>116</v>
      </c>
      <c r="C53" s="7" t="s">
        <v>141</v>
      </c>
      <c r="D53" s="7" t="s">
        <v>98</v>
      </c>
      <c r="E53" s="7" t="s">
        <v>643</v>
      </c>
      <c r="F53" s="7" t="s">
        <v>119</v>
      </c>
      <c r="G53" s="7" t="s">
        <v>291</v>
      </c>
      <c r="H53" s="7" t="s">
        <v>644</v>
      </c>
      <c r="I53" s="7" t="s">
        <v>645</v>
      </c>
      <c r="J53" s="7"/>
      <c r="K53" s="7" t="s">
        <v>646</v>
      </c>
      <c r="L53" s="7" t="s">
        <v>647</v>
      </c>
      <c r="M53" s="7" t="s">
        <v>648</v>
      </c>
      <c r="N53" s="7" t="s">
        <v>92</v>
      </c>
      <c r="O53" s="7"/>
      <c r="P53" s="7"/>
      <c r="Q53" s="8" t="s">
        <v>650</v>
      </c>
      <c r="R53" s="7"/>
      <c r="S53" s="7"/>
    </row>
    <row r="54" customFormat="false" ht="23.85" hidden="false" customHeight="false" outlineLevel="0" collapsed="false">
      <c r="A54" s="7" t="s">
        <v>651</v>
      </c>
      <c r="B54" s="7" t="s">
        <v>116</v>
      </c>
      <c r="C54" s="7" t="s">
        <v>141</v>
      </c>
      <c r="D54" s="7" t="s">
        <v>98</v>
      </c>
      <c r="E54" s="7" t="s">
        <v>652</v>
      </c>
      <c r="F54" s="7" t="s">
        <v>119</v>
      </c>
      <c r="G54" s="7" t="s">
        <v>85</v>
      </c>
      <c r="H54" s="7" t="s">
        <v>654</v>
      </c>
      <c r="I54" s="7" t="s">
        <v>87</v>
      </c>
      <c r="J54" s="7" t="s">
        <v>655</v>
      </c>
      <c r="K54" s="7"/>
      <c r="L54" s="7" t="s">
        <v>656</v>
      </c>
      <c r="M54" s="7" t="s">
        <v>657</v>
      </c>
      <c r="N54" s="7" t="s">
        <v>109</v>
      </c>
      <c r="O54" s="7" t="s">
        <v>659</v>
      </c>
      <c r="P54" s="7" t="s">
        <v>661</v>
      </c>
      <c r="Q54" s="8" t="s">
        <v>253</v>
      </c>
      <c r="R54" s="7" t="s">
        <v>662</v>
      </c>
      <c r="S54" s="7"/>
    </row>
    <row r="55" customFormat="false" ht="35.05" hidden="false" customHeight="false" outlineLevel="0" collapsed="false">
      <c r="A55" s="7" t="s">
        <v>664</v>
      </c>
      <c r="B55" s="7" t="s">
        <v>116</v>
      </c>
      <c r="C55" s="7" t="s">
        <v>141</v>
      </c>
      <c r="D55" s="7" t="s">
        <v>98</v>
      </c>
      <c r="E55" s="7" t="s">
        <v>665</v>
      </c>
      <c r="F55" s="7" t="s">
        <v>119</v>
      </c>
      <c r="G55" s="7" t="s">
        <v>85</v>
      </c>
      <c r="H55" s="7" t="s">
        <v>667</v>
      </c>
      <c r="I55" s="7" t="s">
        <v>87</v>
      </c>
      <c r="J55" s="7"/>
      <c r="K55" s="7"/>
      <c r="L55" s="7" t="s">
        <v>106</v>
      </c>
      <c r="M55" s="7" t="s">
        <v>668</v>
      </c>
      <c r="N55" s="7" t="s">
        <v>92</v>
      </c>
      <c r="O55" s="7"/>
      <c r="P55" s="7" t="s">
        <v>671</v>
      </c>
      <c r="Q55" s="8" t="s">
        <v>672</v>
      </c>
      <c r="R55" s="7" t="s">
        <v>673</v>
      </c>
      <c r="S55" s="7"/>
    </row>
    <row r="56" customFormat="false" ht="23.85" hidden="false" customHeight="false" outlineLevel="0" collapsed="false">
      <c r="A56" s="7" t="s">
        <v>675</v>
      </c>
      <c r="B56" s="7" t="s">
        <v>116</v>
      </c>
      <c r="C56" s="7" t="s">
        <v>141</v>
      </c>
      <c r="D56" s="7" t="s">
        <v>98</v>
      </c>
      <c r="E56" s="7" t="s">
        <v>676</v>
      </c>
      <c r="F56" s="7" t="s">
        <v>119</v>
      </c>
      <c r="G56" s="7" t="s">
        <v>85</v>
      </c>
      <c r="H56" s="7" t="s">
        <v>678</v>
      </c>
      <c r="I56" s="7" t="s">
        <v>679</v>
      </c>
      <c r="J56" s="7"/>
      <c r="K56" s="7"/>
      <c r="L56" s="7" t="s">
        <v>106</v>
      </c>
      <c r="M56" s="7" t="s">
        <v>680</v>
      </c>
      <c r="N56" s="7" t="s">
        <v>92</v>
      </c>
      <c r="O56" s="7"/>
      <c r="P56" s="7" t="s">
        <v>682</v>
      </c>
      <c r="Q56" s="8" t="s">
        <v>683</v>
      </c>
      <c r="R56" s="7"/>
      <c r="S56" s="7"/>
    </row>
    <row r="57" customFormat="false" ht="35.05" hidden="false" customHeight="false" outlineLevel="0" collapsed="false">
      <c r="A57" s="7" t="s">
        <v>686</v>
      </c>
      <c r="B57" s="7" t="s">
        <v>116</v>
      </c>
      <c r="C57" s="7" t="s">
        <v>141</v>
      </c>
      <c r="D57" s="7" t="s">
        <v>98</v>
      </c>
      <c r="E57" s="7" t="s">
        <v>687</v>
      </c>
      <c r="F57" s="7" t="s">
        <v>119</v>
      </c>
      <c r="G57" s="7" t="s">
        <v>85</v>
      </c>
      <c r="H57" s="7" t="s">
        <v>105</v>
      </c>
      <c r="I57" s="7" t="s">
        <v>87</v>
      </c>
      <c r="J57" s="7"/>
      <c r="K57" s="7"/>
      <c r="L57" s="7" t="s">
        <v>106</v>
      </c>
      <c r="M57" s="7" t="s">
        <v>144</v>
      </c>
      <c r="N57" s="7" t="s">
        <v>92</v>
      </c>
      <c r="O57" s="7"/>
      <c r="P57" s="7" t="s">
        <v>690</v>
      </c>
      <c r="Q57" s="8" t="s">
        <v>633</v>
      </c>
      <c r="R57" s="7" t="s">
        <v>691</v>
      </c>
      <c r="S57" s="7"/>
    </row>
    <row r="58" customFormat="false" ht="35.05" hidden="false" customHeight="false" outlineLevel="0" collapsed="false">
      <c r="A58" s="7" t="s">
        <v>693</v>
      </c>
      <c r="B58" s="7" t="s">
        <v>116</v>
      </c>
      <c r="C58" s="7" t="s">
        <v>141</v>
      </c>
      <c r="D58" s="7" t="s">
        <v>98</v>
      </c>
      <c r="E58" s="7" t="s">
        <v>694</v>
      </c>
      <c r="F58" s="7" t="s">
        <v>119</v>
      </c>
      <c r="G58" s="7" t="s">
        <v>85</v>
      </c>
      <c r="H58" s="7" t="s">
        <v>105</v>
      </c>
      <c r="I58" s="7" t="s">
        <v>87</v>
      </c>
      <c r="J58" s="7"/>
      <c r="K58" s="7"/>
      <c r="L58" s="7" t="s">
        <v>106</v>
      </c>
      <c r="M58" s="7" t="s">
        <v>144</v>
      </c>
      <c r="N58" s="7" t="s">
        <v>92</v>
      </c>
      <c r="O58" s="7"/>
      <c r="P58" s="7"/>
      <c r="Q58" s="8" t="s">
        <v>672</v>
      </c>
      <c r="R58" s="7"/>
      <c r="S58" s="7"/>
    </row>
    <row r="59" customFormat="false" ht="46.25" hidden="false" customHeight="false" outlineLevel="0" collapsed="false">
      <c r="A59" s="7" t="s">
        <v>699</v>
      </c>
      <c r="B59" s="7" t="s">
        <v>116</v>
      </c>
      <c r="C59" s="7" t="s">
        <v>141</v>
      </c>
      <c r="D59" s="7" t="s">
        <v>98</v>
      </c>
      <c r="E59" s="7" t="s">
        <v>700</v>
      </c>
      <c r="F59" s="7" t="s">
        <v>119</v>
      </c>
      <c r="G59" s="7" t="s">
        <v>85</v>
      </c>
      <c r="H59" s="7" t="s">
        <v>702</v>
      </c>
      <c r="I59" s="7" t="s">
        <v>703</v>
      </c>
      <c r="J59" s="7"/>
      <c r="K59" s="7" t="s">
        <v>704</v>
      </c>
      <c r="L59" s="7" t="s">
        <v>705</v>
      </c>
      <c r="M59" s="7" t="s">
        <v>706</v>
      </c>
      <c r="N59" s="7" t="s">
        <v>92</v>
      </c>
      <c r="O59" s="7"/>
      <c r="P59" s="7" t="s">
        <v>708</v>
      </c>
      <c r="Q59" s="8" t="s">
        <v>709</v>
      </c>
      <c r="R59" s="7" t="s">
        <v>710</v>
      </c>
      <c r="S59" s="7"/>
    </row>
    <row r="60" customFormat="false" ht="35.05" hidden="false" customHeight="false" outlineLevel="0" collapsed="false">
      <c r="A60" s="7" t="s">
        <v>712</v>
      </c>
      <c r="B60" s="7" t="s">
        <v>116</v>
      </c>
      <c r="C60" s="7" t="s">
        <v>141</v>
      </c>
      <c r="D60" s="7" t="s">
        <v>98</v>
      </c>
      <c r="E60" s="7" t="s">
        <v>713</v>
      </c>
      <c r="F60" s="7" t="s">
        <v>715</v>
      </c>
      <c r="G60" s="7" t="s">
        <v>85</v>
      </c>
      <c r="H60" s="7" t="s">
        <v>105</v>
      </c>
      <c r="I60" s="7" t="s">
        <v>87</v>
      </c>
      <c r="J60" s="7"/>
      <c r="K60" s="7"/>
      <c r="L60" s="7" t="s">
        <v>106</v>
      </c>
      <c r="M60" s="7" t="s">
        <v>144</v>
      </c>
      <c r="N60" s="7" t="s">
        <v>189</v>
      </c>
      <c r="O60" s="7"/>
      <c r="P60" s="7"/>
      <c r="Q60" s="8" t="s">
        <v>719</v>
      </c>
      <c r="R60" s="7" t="s">
        <v>721</v>
      </c>
      <c r="S60" s="7" t="s">
        <v>722</v>
      </c>
    </row>
    <row r="61" customFormat="false" ht="35.05" hidden="false" customHeight="false" outlineLevel="0" collapsed="false">
      <c r="A61" s="7" t="s">
        <v>724</v>
      </c>
      <c r="B61" s="7" t="s">
        <v>116</v>
      </c>
      <c r="C61" s="7" t="s">
        <v>141</v>
      </c>
      <c r="D61" s="7" t="s">
        <v>98</v>
      </c>
      <c r="E61" s="7" t="s">
        <v>725</v>
      </c>
      <c r="F61" s="7" t="s">
        <v>726</v>
      </c>
      <c r="G61" s="7" t="s">
        <v>85</v>
      </c>
      <c r="H61" s="7" t="s">
        <v>105</v>
      </c>
      <c r="I61" s="7" t="s">
        <v>87</v>
      </c>
      <c r="J61" s="7"/>
      <c r="K61" s="7"/>
      <c r="L61" s="7" t="s">
        <v>106</v>
      </c>
      <c r="M61" s="7" t="s">
        <v>144</v>
      </c>
      <c r="N61" s="7" t="s">
        <v>92</v>
      </c>
      <c r="O61" s="7"/>
      <c r="P61" s="7"/>
      <c r="Q61" s="8" t="s">
        <v>728</v>
      </c>
      <c r="R61" s="7"/>
      <c r="S61" s="7"/>
    </row>
    <row r="62" customFormat="false" ht="35.05" hidden="false" customHeight="false" outlineLevel="0" collapsed="false">
      <c r="A62" s="7" t="s">
        <v>730</v>
      </c>
      <c r="B62" s="7" t="s">
        <v>116</v>
      </c>
      <c r="C62" s="7" t="s">
        <v>141</v>
      </c>
      <c r="D62" s="7" t="s">
        <v>98</v>
      </c>
      <c r="E62" s="7" t="s">
        <v>731</v>
      </c>
      <c r="F62" s="7" t="s">
        <v>732</v>
      </c>
      <c r="G62" s="7" t="s">
        <v>85</v>
      </c>
      <c r="H62" s="7" t="s">
        <v>105</v>
      </c>
      <c r="I62" s="7" t="s">
        <v>87</v>
      </c>
      <c r="J62" s="7"/>
      <c r="K62" s="7"/>
      <c r="L62" s="7" t="s">
        <v>106</v>
      </c>
      <c r="M62" s="7" t="s">
        <v>144</v>
      </c>
      <c r="N62" s="7" t="s">
        <v>92</v>
      </c>
      <c r="O62" s="7"/>
      <c r="P62" s="7"/>
      <c r="Q62" s="8" t="s">
        <v>735</v>
      </c>
      <c r="R62" s="7"/>
      <c r="S62" s="7"/>
    </row>
    <row r="63" customFormat="false" ht="23.85" hidden="false" customHeight="false" outlineLevel="0" collapsed="false">
      <c r="A63" s="7" t="s">
        <v>737</v>
      </c>
      <c r="B63" s="7" t="s">
        <v>116</v>
      </c>
      <c r="C63" s="7" t="s">
        <v>141</v>
      </c>
      <c r="D63" s="7" t="s">
        <v>98</v>
      </c>
      <c r="E63" s="7" t="s">
        <v>738</v>
      </c>
      <c r="F63" s="7" t="s">
        <v>319</v>
      </c>
      <c r="G63" s="7" t="s">
        <v>85</v>
      </c>
      <c r="H63" s="7" t="s">
        <v>740</v>
      </c>
      <c r="I63" s="7" t="s">
        <v>87</v>
      </c>
      <c r="J63" s="7"/>
      <c r="K63" s="7" t="s">
        <v>741</v>
      </c>
      <c r="L63" s="7" t="s">
        <v>742</v>
      </c>
      <c r="M63" s="7" t="s">
        <v>743</v>
      </c>
      <c r="N63" s="7" t="s">
        <v>92</v>
      </c>
      <c r="O63" s="7"/>
      <c r="P63" s="7" t="s">
        <v>746</v>
      </c>
      <c r="Q63" s="8" t="s">
        <v>540</v>
      </c>
      <c r="R63" s="7"/>
      <c r="S63" s="7"/>
    </row>
    <row r="64" customFormat="false" ht="23.85" hidden="false" customHeight="false" outlineLevel="0" collapsed="false">
      <c r="A64" s="7" t="s">
        <v>748</v>
      </c>
      <c r="B64" s="7" t="s">
        <v>116</v>
      </c>
      <c r="C64" s="7" t="s">
        <v>141</v>
      </c>
      <c r="D64" s="7" t="s">
        <v>98</v>
      </c>
      <c r="E64" s="7" t="s">
        <v>749</v>
      </c>
      <c r="F64" s="7" t="s">
        <v>103</v>
      </c>
      <c r="G64" s="7" t="s">
        <v>85</v>
      </c>
      <c r="H64" s="7" t="s">
        <v>751</v>
      </c>
      <c r="I64" s="7" t="s">
        <v>87</v>
      </c>
      <c r="J64" s="7"/>
      <c r="K64" s="7" t="s">
        <v>752</v>
      </c>
      <c r="L64" s="7" t="s">
        <v>753</v>
      </c>
      <c r="M64" s="7" t="s">
        <v>754</v>
      </c>
      <c r="N64" s="7" t="s">
        <v>92</v>
      </c>
      <c r="O64" s="7"/>
      <c r="P64" s="7"/>
      <c r="Q64" s="8" t="s">
        <v>757</v>
      </c>
      <c r="R64" s="7"/>
      <c r="S64" s="7"/>
    </row>
    <row r="65" customFormat="false" ht="23.85" hidden="false" customHeight="false" outlineLevel="0" collapsed="false">
      <c r="A65" s="7" t="s">
        <v>759</v>
      </c>
      <c r="B65" s="7" t="s">
        <v>116</v>
      </c>
      <c r="C65" s="7" t="s">
        <v>141</v>
      </c>
      <c r="D65" s="7" t="s">
        <v>98</v>
      </c>
      <c r="E65" s="7" t="s">
        <v>760</v>
      </c>
      <c r="F65" s="7" t="s">
        <v>103</v>
      </c>
      <c r="G65" s="7" t="s">
        <v>85</v>
      </c>
      <c r="H65" s="7" t="s">
        <v>762</v>
      </c>
      <c r="I65" s="7" t="s">
        <v>87</v>
      </c>
      <c r="J65" s="7"/>
      <c r="K65" s="7"/>
      <c r="L65" s="7" t="s">
        <v>106</v>
      </c>
      <c r="M65" s="7" t="s">
        <v>763</v>
      </c>
      <c r="N65" s="7" t="s">
        <v>92</v>
      </c>
      <c r="O65" s="7"/>
      <c r="P65" s="7" t="s">
        <v>765</v>
      </c>
      <c r="Q65" s="8" t="s">
        <v>766</v>
      </c>
      <c r="R65" s="7"/>
      <c r="S65" s="7"/>
    </row>
    <row r="66" customFormat="false" ht="35.05" hidden="false" customHeight="false" outlineLevel="0" collapsed="false">
      <c r="A66" s="7" t="s">
        <v>768</v>
      </c>
      <c r="B66" s="7" t="s">
        <v>116</v>
      </c>
      <c r="C66" s="7" t="s">
        <v>141</v>
      </c>
      <c r="D66" s="7" t="s">
        <v>98</v>
      </c>
      <c r="E66" s="7" t="s">
        <v>769</v>
      </c>
      <c r="F66" s="7" t="s">
        <v>103</v>
      </c>
      <c r="G66" s="7" t="s">
        <v>85</v>
      </c>
      <c r="H66" s="7" t="s">
        <v>105</v>
      </c>
      <c r="I66" s="7" t="s">
        <v>87</v>
      </c>
      <c r="J66" s="7"/>
      <c r="K66" s="7"/>
      <c r="L66" s="7" t="s">
        <v>106</v>
      </c>
      <c r="M66" s="7" t="s">
        <v>144</v>
      </c>
      <c r="N66" s="7" t="s">
        <v>92</v>
      </c>
      <c r="O66" s="7"/>
      <c r="P66" s="7"/>
      <c r="Q66" s="8" t="s">
        <v>556</v>
      </c>
      <c r="R66" s="7" t="s">
        <v>773</v>
      </c>
      <c r="S66" s="7"/>
    </row>
    <row r="67" customFormat="false" ht="35.05" hidden="false" customHeight="false" outlineLevel="0" collapsed="false">
      <c r="A67" s="7" t="s">
        <v>775</v>
      </c>
      <c r="B67" s="7" t="s">
        <v>116</v>
      </c>
      <c r="C67" s="7" t="s">
        <v>141</v>
      </c>
      <c r="D67" s="7" t="s">
        <v>98</v>
      </c>
      <c r="E67" s="7" t="s">
        <v>776</v>
      </c>
      <c r="F67" s="7" t="s">
        <v>429</v>
      </c>
      <c r="G67" s="7" t="s">
        <v>85</v>
      </c>
      <c r="H67" s="7" t="s">
        <v>105</v>
      </c>
      <c r="I67" s="7" t="s">
        <v>87</v>
      </c>
      <c r="J67" s="7"/>
      <c r="K67" s="7"/>
      <c r="L67" s="7" t="s">
        <v>106</v>
      </c>
      <c r="M67" s="7" t="s">
        <v>144</v>
      </c>
      <c r="N67" s="7" t="s">
        <v>92</v>
      </c>
      <c r="O67" s="7"/>
      <c r="P67" s="7" t="s">
        <v>780</v>
      </c>
      <c r="Q67" s="8" t="s">
        <v>781</v>
      </c>
      <c r="R67" s="7" t="s">
        <v>285</v>
      </c>
      <c r="S67" s="7"/>
    </row>
    <row r="68" customFormat="false" ht="23.85" hidden="false" customHeight="false" outlineLevel="0" collapsed="false">
      <c r="A68" s="7" t="s">
        <v>783</v>
      </c>
      <c r="B68" s="7" t="s">
        <v>116</v>
      </c>
      <c r="C68" s="7" t="s">
        <v>141</v>
      </c>
      <c r="D68" s="7" t="s">
        <v>98</v>
      </c>
      <c r="E68" s="7" t="s">
        <v>784</v>
      </c>
      <c r="F68" s="7" t="s">
        <v>429</v>
      </c>
      <c r="G68" s="7" t="s">
        <v>85</v>
      </c>
      <c r="H68" s="7" t="s">
        <v>786</v>
      </c>
      <c r="I68" s="7" t="s">
        <v>87</v>
      </c>
      <c r="J68" s="7"/>
      <c r="K68" s="7"/>
      <c r="L68" s="7" t="s">
        <v>787</v>
      </c>
      <c r="M68" s="7" t="s">
        <v>788</v>
      </c>
      <c r="N68" s="7" t="s">
        <v>92</v>
      </c>
      <c r="O68" s="7"/>
      <c r="P68" s="7" t="s">
        <v>790</v>
      </c>
      <c r="Q68" s="8" t="s">
        <v>791</v>
      </c>
      <c r="R68" s="7" t="s">
        <v>792</v>
      </c>
      <c r="S68" s="7"/>
    </row>
    <row r="69" customFormat="false" ht="35.05" hidden="false" customHeight="false" outlineLevel="0" collapsed="false">
      <c r="A69" s="7" t="s">
        <v>794</v>
      </c>
      <c r="B69" s="7" t="s">
        <v>116</v>
      </c>
      <c r="C69" s="7" t="s">
        <v>141</v>
      </c>
      <c r="D69" s="7" t="s">
        <v>98</v>
      </c>
      <c r="E69" s="7" t="s">
        <v>795</v>
      </c>
      <c r="F69" s="7" t="s">
        <v>460</v>
      </c>
      <c r="G69" s="7" t="s">
        <v>85</v>
      </c>
      <c r="H69" s="7" t="s">
        <v>105</v>
      </c>
      <c r="I69" s="7" t="s">
        <v>87</v>
      </c>
      <c r="J69" s="7" t="s">
        <v>797</v>
      </c>
      <c r="K69" s="7"/>
      <c r="L69" s="7" t="s">
        <v>106</v>
      </c>
      <c r="M69" s="7" t="s">
        <v>144</v>
      </c>
      <c r="N69" s="7" t="s">
        <v>92</v>
      </c>
      <c r="O69" s="7"/>
      <c r="P69" s="7"/>
      <c r="Q69" s="8" t="s">
        <v>462</v>
      </c>
      <c r="R69" s="7" t="s">
        <v>799</v>
      </c>
      <c r="S69" s="7"/>
    </row>
    <row r="70" customFormat="false" ht="57.45" hidden="false" customHeight="false" outlineLevel="0" collapsed="false">
      <c r="A70" s="7" t="s">
        <v>801</v>
      </c>
      <c r="B70" s="7" t="s">
        <v>116</v>
      </c>
      <c r="C70" s="7" t="s">
        <v>141</v>
      </c>
      <c r="D70" s="7" t="s">
        <v>98</v>
      </c>
      <c r="E70" s="7" t="s">
        <v>802</v>
      </c>
      <c r="F70" s="7" t="s">
        <v>803</v>
      </c>
      <c r="G70" s="7" t="s">
        <v>85</v>
      </c>
      <c r="H70" s="7" t="s">
        <v>105</v>
      </c>
      <c r="I70" s="7" t="s">
        <v>87</v>
      </c>
      <c r="J70" s="7"/>
      <c r="K70" s="7"/>
      <c r="L70" s="7" t="s">
        <v>106</v>
      </c>
      <c r="M70" s="7" t="s">
        <v>144</v>
      </c>
      <c r="N70" s="7" t="s">
        <v>92</v>
      </c>
      <c r="O70" s="7"/>
      <c r="P70" s="7"/>
      <c r="Q70" s="8" t="s">
        <v>806</v>
      </c>
      <c r="R70" s="7" t="s">
        <v>808</v>
      </c>
      <c r="S70" s="7"/>
    </row>
    <row r="71" customFormat="false" ht="35.05" hidden="false" customHeight="false" outlineLevel="0" collapsed="false">
      <c r="A71" s="7" t="s">
        <v>954</v>
      </c>
      <c r="B71" s="7" t="s">
        <v>76</v>
      </c>
      <c r="C71" s="7" t="s">
        <v>955</v>
      </c>
      <c r="D71" s="7" t="s">
        <v>78</v>
      </c>
      <c r="E71" s="7" t="s">
        <v>956</v>
      </c>
      <c r="F71" s="7" t="s">
        <v>119</v>
      </c>
      <c r="G71" s="7" t="s">
        <v>85</v>
      </c>
      <c r="H71" s="7" t="s">
        <v>105</v>
      </c>
      <c r="I71" s="7" t="s">
        <v>87</v>
      </c>
      <c r="J71" s="7"/>
      <c r="K71" s="7"/>
      <c r="L71" s="7" t="s">
        <v>88</v>
      </c>
      <c r="M71" s="7" t="s">
        <v>144</v>
      </c>
      <c r="N71" s="7" t="s">
        <v>92</v>
      </c>
      <c r="O71" s="7"/>
      <c r="P71" s="7"/>
      <c r="Q71" s="8" t="s">
        <v>959</v>
      </c>
      <c r="R71" s="7" t="s">
        <v>960</v>
      </c>
      <c r="S71" s="7"/>
    </row>
    <row r="72" customFormat="false" ht="35.05" hidden="false" customHeight="false" outlineLevel="0" collapsed="false">
      <c r="A72" s="7" t="s">
        <v>962</v>
      </c>
      <c r="B72" s="7" t="s">
        <v>76</v>
      </c>
      <c r="C72" s="7" t="s">
        <v>955</v>
      </c>
      <c r="D72" s="7" t="s">
        <v>78</v>
      </c>
      <c r="E72" s="7" t="s">
        <v>963</v>
      </c>
      <c r="F72" s="7" t="s">
        <v>119</v>
      </c>
      <c r="G72" s="7" t="s">
        <v>85</v>
      </c>
      <c r="H72" s="7" t="s">
        <v>105</v>
      </c>
      <c r="I72" s="7" t="s">
        <v>87</v>
      </c>
      <c r="J72" s="7"/>
      <c r="K72" s="7"/>
      <c r="L72" s="7" t="s">
        <v>88</v>
      </c>
      <c r="M72" s="7" t="s">
        <v>144</v>
      </c>
      <c r="N72" s="7" t="s">
        <v>92</v>
      </c>
      <c r="O72" s="7"/>
      <c r="P72" s="7"/>
      <c r="Q72" s="8" t="s">
        <v>965</v>
      </c>
      <c r="R72" s="7"/>
      <c r="S72" s="7"/>
    </row>
    <row r="73" customFormat="false" ht="35.05" hidden="false" customHeight="false" outlineLevel="0" collapsed="false">
      <c r="A73" s="7" t="s">
        <v>984</v>
      </c>
      <c r="B73" s="7" t="s">
        <v>116</v>
      </c>
      <c r="C73" s="7" t="s">
        <v>985</v>
      </c>
      <c r="D73" s="7" t="s">
        <v>98</v>
      </c>
      <c r="E73" s="7" t="s">
        <v>986</v>
      </c>
      <c r="F73" s="7" t="s">
        <v>987</v>
      </c>
      <c r="G73" s="7" t="s">
        <v>85</v>
      </c>
      <c r="H73" s="7" t="s">
        <v>105</v>
      </c>
      <c r="I73" s="7" t="s">
        <v>87</v>
      </c>
      <c r="J73" s="7"/>
      <c r="K73" s="7"/>
      <c r="L73" s="7" t="s">
        <v>106</v>
      </c>
      <c r="M73" s="7" t="s">
        <v>988</v>
      </c>
      <c r="N73" s="7" t="s">
        <v>109</v>
      </c>
      <c r="O73" s="7" t="s">
        <v>991</v>
      </c>
      <c r="P73" s="7"/>
      <c r="Q73" s="8" t="s">
        <v>992</v>
      </c>
      <c r="R73" s="7"/>
      <c r="S73" s="7"/>
    </row>
    <row r="74" customFormat="false" ht="35.05" hidden="false" customHeight="false" outlineLevel="0" collapsed="false">
      <c r="A74" s="7" t="s">
        <v>1037</v>
      </c>
      <c r="B74" s="7" t="s">
        <v>76</v>
      </c>
      <c r="C74" s="7" t="s">
        <v>985</v>
      </c>
      <c r="D74" s="7" t="s">
        <v>78</v>
      </c>
      <c r="E74" s="7" t="s">
        <v>1038</v>
      </c>
      <c r="F74" s="7" t="s">
        <v>119</v>
      </c>
      <c r="G74" s="7" t="s">
        <v>85</v>
      </c>
      <c r="H74" s="7" t="s">
        <v>1039</v>
      </c>
      <c r="I74" s="7" t="s">
        <v>87</v>
      </c>
      <c r="J74" s="7"/>
      <c r="K74" s="7"/>
      <c r="L74" s="7" t="s">
        <v>88</v>
      </c>
      <c r="M74" s="7" t="s">
        <v>988</v>
      </c>
      <c r="N74" s="7" t="s">
        <v>92</v>
      </c>
      <c r="O74" s="7"/>
      <c r="P74" s="7"/>
      <c r="Q74" s="8" t="s">
        <v>1042</v>
      </c>
      <c r="R74" s="7" t="s">
        <v>1043</v>
      </c>
      <c r="S74" s="7"/>
    </row>
    <row r="75" customFormat="false" ht="23.85" hidden="false" customHeight="false" outlineLevel="0" collapsed="false">
      <c r="A75" s="7" t="s">
        <v>1045</v>
      </c>
      <c r="B75" s="7" t="s">
        <v>116</v>
      </c>
      <c r="C75" s="7" t="s">
        <v>985</v>
      </c>
      <c r="D75" s="7" t="s">
        <v>98</v>
      </c>
      <c r="E75" s="7" t="s">
        <v>1046</v>
      </c>
      <c r="F75" s="7" t="s">
        <v>119</v>
      </c>
      <c r="G75" s="7" t="s">
        <v>85</v>
      </c>
      <c r="H75" s="7" t="s">
        <v>105</v>
      </c>
      <c r="I75" s="7" t="s">
        <v>87</v>
      </c>
      <c r="J75" s="7"/>
      <c r="K75" s="7"/>
      <c r="L75" s="7" t="s">
        <v>106</v>
      </c>
      <c r="M75" s="7" t="s">
        <v>988</v>
      </c>
      <c r="N75" s="7" t="s">
        <v>92</v>
      </c>
      <c r="O75" s="7"/>
      <c r="P75" s="7"/>
      <c r="Q75" s="8" t="s">
        <v>1050</v>
      </c>
      <c r="R75" s="7"/>
      <c r="S75" s="7"/>
    </row>
    <row r="76" customFormat="false" ht="23.85" hidden="false" customHeight="false" outlineLevel="0" collapsed="false">
      <c r="A76" s="7" t="s">
        <v>1052</v>
      </c>
      <c r="B76" s="7" t="s">
        <v>116</v>
      </c>
      <c r="C76" s="7" t="s">
        <v>985</v>
      </c>
      <c r="D76" s="7" t="s">
        <v>98</v>
      </c>
      <c r="E76" s="7" t="s">
        <v>1053</v>
      </c>
      <c r="F76" s="7" t="s">
        <v>119</v>
      </c>
      <c r="G76" s="7" t="s">
        <v>85</v>
      </c>
      <c r="H76" s="7" t="s">
        <v>1055</v>
      </c>
      <c r="I76" s="7" t="s">
        <v>1056</v>
      </c>
      <c r="J76" s="7" t="s">
        <v>1057</v>
      </c>
      <c r="K76" s="7"/>
      <c r="L76" s="7" t="s">
        <v>106</v>
      </c>
      <c r="M76" s="7" t="s">
        <v>1058</v>
      </c>
      <c r="N76" s="7" t="s">
        <v>109</v>
      </c>
      <c r="O76" s="7" t="s">
        <v>1061</v>
      </c>
      <c r="P76" s="7"/>
      <c r="Q76" s="8" t="s">
        <v>1062</v>
      </c>
      <c r="R76" s="7"/>
      <c r="S76" s="7"/>
    </row>
    <row r="77" customFormat="false" ht="57.45" hidden="false" customHeight="false" outlineLevel="0" collapsed="false">
      <c r="A77" s="7" t="s">
        <v>1063</v>
      </c>
      <c r="B77" s="7" t="s">
        <v>116</v>
      </c>
      <c r="C77" s="7" t="s">
        <v>985</v>
      </c>
      <c r="D77" s="7" t="s">
        <v>98</v>
      </c>
      <c r="E77" s="7" t="s">
        <v>1064</v>
      </c>
      <c r="F77" s="7" t="s">
        <v>119</v>
      </c>
      <c r="G77" s="7" t="s">
        <v>85</v>
      </c>
      <c r="H77" s="7" t="s">
        <v>1066</v>
      </c>
      <c r="I77" s="7" t="s">
        <v>1067</v>
      </c>
      <c r="J77" s="7" t="s">
        <v>1068</v>
      </c>
      <c r="K77" s="7" t="s">
        <v>1069</v>
      </c>
      <c r="L77" s="7" t="s">
        <v>1070</v>
      </c>
      <c r="M77" s="7" t="s">
        <v>1071</v>
      </c>
      <c r="N77" s="7" t="s">
        <v>92</v>
      </c>
      <c r="O77" s="7"/>
      <c r="P77" s="7"/>
      <c r="Q77" s="8" t="s">
        <v>1074</v>
      </c>
      <c r="R77" s="7" t="s">
        <v>1075</v>
      </c>
      <c r="S77" s="7"/>
    </row>
    <row r="78" customFormat="false" ht="23.85" hidden="false" customHeight="false" outlineLevel="0" collapsed="false">
      <c r="A78" s="7" t="s">
        <v>1077</v>
      </c>
      <c r="B78" s="7" t="s">
        <v>116</v>
      </c>
      <c r="C78" s="7" t="s">
        <v>985</v>
      </c>
      <c r="D78" s="7" t="s">
        <v>98</v>
      </c>
      <c r="E78" s="7" t="s">
        <v>1078</v>
      </c>
      <c r="F78" s="7" t="s">
        <v>119</v>
      </c>
      <c r="G78" s="7" t="s">
        <v>85</v>
      </c>
      <c r="H78" s="7" t="s">
        <v>1080</v>
      </c>
      <c r="I78" s="7" t="s">
        <v>87</v>
      </c>
      <c r="J78" s="7"/>
      <c r="K78" s="7" t="s">
        <v>1081</v>
      </c>
      <c r="L78" s="7" t="s">
        <v>106</v>
      </c>
      <c r="M78" s="7" t="s">
        <v>1082</v>
      </c>
      <c r="N78" s="7" t="s">
        <v>109</v>
      </c>
      <c r="O78" s="7" t="s">
        <v>1085</v>
      </c>
      <c r="P78" s="7"/>
      <c r="Q78" s="8" t="s">
        <v>1087</v>
      </c>
      <c r="R78" s="7"/>
      <c r="S78" s="7"/>
    </row>
    <row r="79" customFormat="false" ht="23.85" hidden="false" customHeight="false" outlineLevel="0" collapsed="false">
      <c r="A79" s="7" t="s">
        <v>1088</v>
      </c>
      <c r="B79" s="7" t="s">
        <v>116</v>
      </c>
      <c r="C79" s="7" t="s">
        <v>985</v>
      </c>
      <c r="D79" s="7" t="s">
        <v>78</v>
      </c>
      <c r="E79" s="7" t="s">
        <v>1089</v>
      </c>
      <c r="F79" s="7" t="s">
        <v>119</v>
      </c>
      <c r="G79" s="7" t="s">
        <v>85</v>
      </c>
      <c r="H79" s="7" t="s">
        <v>1091</v>
      </c>
      <c r="I79" s="7" t="s">
        <v>87</v>
      </c>
      <c r="J79" s="7"/>
      <c r="K79" s="7"/>
      <c r="L79" s="7" t="s">
        <v>88</v>
      </c>
      <c r="M79" s="7" t="s">
        <v>988</v>
      </c>
      <c r="N79" s="7" t="s">
        <v>1014</v>
      </c>
      <c r="O79" s="7"/>
      <c r="P79" s="7" t="s">
        <v>1095</v>
      </c>
      <c r="Q79" s="8" t="s">
        <v>1096</v>
      </c>
      <c r="R79" s="7"/>
      <c r="S79" s="7"/>
    </row>
    <row r="80" customFormat="false" ht="23.85" hidden="false" customHeight="false" outlineLevel="0" collapsed="false">
      <c r="A80" s="7" t="s">
        <v>1099</v>
      </c>
      <c r="B80" s="7" t="s">
        <v>116</v>
      </c>
      <c r="C80" s="7" t="s">
        <v>985</v>
      </c>
      <c r="D80" s="7" t="s">
        <v>78</v>
      </c>
      <c r="E80" s="7" t="s">
        <v>1100</v>
      </c>
      <c r="F80" s="7" t="s">
        <v>119</v>
      </c>
      <c r="G80" s="7" t="s">
        <v>85</v>
      </c>
      <c r="H80" s="7" t="s">
        <v>105</v>
      </c>
      <c r="I80" s="7" t="s">
        <v>87</v>
      </c>
      <c r="J80" s="7" t="s">
        <v>1102</v>
      </c>
      <c r="K80" s="7" t="s">
        <v>1103</v>
      </c>
      <c r="L80" s="7" t="s">
        <v>88</v>
      </c>
      <c r="M80" s="7" t="s">
        <v>1104</v>
      </c>
      <c r="N80" s="7" t="s">
        <v>109</v>
      </c>
      <c r="O80" s="7" t="s">
        <v>1106</v>
      </c>
      <c r="P80" s="7"/>
      <c r="Q80" s="8" t="s">
        <v>1107</v>
      </c>
      <c r="R80" s="7" t="s">
        <v>1109</v>
      </c>
      <c r="S80" s="7" t="s">
        <v>1110</v>
      </c>
    </row>
    <row r="81" customFormat="false" ht="23.85" hidden="false" customHeight="false" outlineLevel="0" collapsed="false">
      <c r="A81" s="7" t="s">
        <v>1112</v>
      </c>
      <c r="B81" s="7" t="s">
        <v>116</v>
      </c>
      <c r="C81" s="7" t="s">
        <v>985</v>
      </c>
      <c r="D81" s="7" t="s">
        <v>78</v>
      </c>
      <c r="E81" s="7" t="s">
        <v>1113</v>
      </c>
      <c r="F81" s="7" t="s">
        <v>119</v>
      </c>
      <c r="G81" s="7" t="s">
        <v>85</v>
      </c>
      <c r="H81" s="7" t="s">
        <v>105</v>
      </c>
      <c r="I81" s="7" t="s">
        <v>87</v>
      </c>
      <c r="J81" s="7" t="s">
        <v>1115</v>
      </c>
      <c r="K81" s="7"/>
      <c r="L81" s="7" t="s">
        <v>88</v>
      </c>
      <c r="M81" s="7" t="s">
        <v>988</v>
      </c>
      <c r="N81" s="7" t="s">
        <v>109</v>
      </c>
      <c r="O81" s="7" t="s">
        <v>1117</v>
      </c>
      <c r="P81" s="7"/>
      <c r="Q81" s="8" t="s">
        <v>1118</v>
      </c>
      <c r="R81" s="7" t="s">
        <v>1119</v>
      </c>
      <c r="S81" s="7"/>
    </row>
    <row r="82" customFormat="false" ht="35.05" hidden="false" customHeight="false" outlineLevel="0" collapsed="false">
      <c r="A82" s="7" t="s">
        <v>1121</v>
      </c>
      <c r="B82" s="7" t="s">
        <v>116</v>
      </c>
      <c r="C82" s="7" t="s">
        <v>985</v>
      </c>
      <c r="D82" s="7" t="s">
        <v>78</v>
      </c>
      <c r="E82" s="7" t="s">
        <v>1122</v>
      </c>
      <c r="F82" s="7" t="s">
        <v>119</v>
      </c>
      <c r="G82" s="7" t="s">
        <v>85</v>
      </c>
      <c r="H82" s="7" t="s">
        <v>1124</v>
      </c>
      <c r="I82" s="7" t="s">
        <v>87</v>
      </c>
      <c r="J82" s="7"/>
      <c r="K82" s="7"/>
      <c r="L82" s="7" t="s">
        <v>1125</v>
      </c>
      <c r="M82" s="7" t="s">
        <v>1126</v>
      </c>
      <c r="N82" s="7" t="s">
        <v>109</v>
      </c>
      <c r="O82" s="7" t="s">
        <v>1129</v>
      </c>
      <c r="P82" s="7" t="s">
        <v>1131</v>
      </c>
      <c r="Q82" s="8" t="s">
        <v>1130</v>
      </c>
      <c r="R82" s="7"/>
      <c r="S82" s="7"/>
    </row>
    <row r="83" customFormat="false" ht="23.85" hidden="false" customHeight="false" outlineLevel="0" collapsed="false">
      <c r="A83" s="7" t="s">
        <v>1159</v>
      </c>
      <c r="B83" s="7" t="s">
        <v>116</v>
      </c>
      <c r="C83" s="7" t="s">
        <v>985</v>
      </c>
      <c r="D83" s="7" t="s">
        <v>98</v>
      </c>
      <c r="E83" s="7" t="s">
        <v>1160</v>
      </c>
      <c r="F83" s="7" t="s">
        <v>866</v>
      </c>
      <c r="G83" s="7" t="s">
        <v>85</v>
      </c>
      <c r="H83" s="7" t="s">
        <v>105</v>
      </c>
      <c r="I83" s="7" t="s">
        <v>1162</v>
      </c>
      <c r="J83" s="7"/>
      <c r="K83" s="7" t="s">
        <v>1163</v>
      </c>
      <c r="L83" s="7" t="s">
        <v>1164</v>
      </c>
      <c r="M83" s="7" t="s">
        <v>988</v>
      </c>
      <c r="N83" s="7" t="s">
        <v>1014</v>
      </c>
      <c r="O83" s="7"/>
      <c r="P83" s="7" t="s">
        <v>1167</v>
      </c>
      <c r="Q83" s="8" t="s">
        <v>1168</v>
      </c>
      <c r="R83" s="7" t="s">
        <v>1169</v>
      </c>
      <c r="S83" s="7"/>
    </row>
    <row r="84" customFormat="false" ht="23.85" hidden="false" customHeight="false" outlineLevel="0" collapsed="false">
      <c r="A84" s="7" t="s">
        <v>1171</v>
      </c>
      <c r="B84" s="7" t="s">
        <v>116</v>
      </c>
      <c r="C84" s="7" t="s">
        <v>985</v>
      </c>
      <c r="D84" s="7" t="s">
        <v>98</v>
      </c>
      <c r="E84" s="7" t="s">
        <v>1172</v>
      </c>
      <c r="F84" s="7" t="s">
        <v>866</v>
      </c>
      <c r="G84" s="7" t="s">
        <v>85</v>
      </c>
      <c r="H84" s="7" t="s">
        <v>105</v>
      </c>
      <c r="I84" s="7" t="s">
        <v>87</v>
      </c>
      <c r="J84" s="7" t="s">
        <v>1174</v>
      </c>
      <c r="K84" s="7"/>
      <c r="L84" s="7" t="s">
        <v>106</v>
      </c>
      <c r="M84" s="7" t="s">
        <v>988</v>
      </c>
      <c r="N84" s="7" t="s">
        <v>109</v>
      </c>
      <c r="O84" s="7" t="s">
        <v>1177</v>
      </c>
      <c r="P84" s="7"/>
      <c r="Q84" s="8" t="s">
        <v>1178</v>
      </c>
      <c r="R84" s="7" t="s">
        <v>1179</v>
      </c>
      <c r="S84" s="7"/>
    </row>
    <row r="85" customFormat="false" ht="23.85" hidden="false" customHeight="false" outlineLevel="0" collapsed="false">
      <c r="A85" s="7" t="s">
        <v>1181</v>
      </c>
      <c r="B85" s="7" t="s">
        <v>116</v>
      </c>
      <c r="C85" s="7" t="s">
        <v>985</v>
      </c>
      <c r="D85" s="7" t="s">
        <v>98</v>
      </c>
      <c r="E85" s="7" t="s">
        <v>1182</v>
      </c>
      <c r="F85" s="7" t="s">
        <v>866</v>
      </c>
      <c r="G85" s="7" t="s">
        <v>85</v>
      </c>
      <c r="H85" s="7" t="s">
        <v>105</v>
      </c>
      <c r="I85" s="7" t="s">
        <v>87</v>
      </c>
      <c r="J85" s="7"/>
      <c r="K85" s="7"/>
      <c r="L85" s="7" t="s">
        <v>106</v>
      </c>
      <c r="M85" s="7" t="s">
        <v>988</v>
      </c>
      <c r="N85" s="7" t="s">
        <v>92</v>
      </c>
      <c r="O85" s="7"/>
      <c r="P85" s="7"/>
      <c r="Q85" s="8" t="s">
        <v>1168</v>
      </c>
      <c r="R85" s="7"/>
      <c r="S85" s="7"/>
    </row>
    <row r="86" customFormat="false" ht="102.2" hidden="false" customHeight="false" outlineLevel="0" collapsed="false">
      <c r="A86" s="7" t="s">
        <v>1184</v>
      </c>
      <c r="B86" s="7" t="s">
        <v>116</v>
      </c>
      <c r="C86" s="7" t="s">
        <v>985</v>
      </c>
      <c r="D86" s="7" t="s">
        <v>98</v>
      </c>
      <c r="E86" s="7" t="s">
        <v>1185</v>
      </c>
      <c r="F86" s="7" t="s">
        <v>866</v>
      </c>
      <c r="G86" s="7" t="s">
        <v>1187</v>
      </c>
      <c r="H86" s="7" t="s">
        <v>1188</v>
      </c>
      <c r="I86" s="7" t="s">
        <v>1189</v>
      </c>
      <c r="J86" s="7" t="s">
        <v>1190</v>
      </c>
      <c r="K86" s="7"/>
      <c r="L86" s="7" t="s">
        <v>106</v>
      </c>
      <c r="M86" s="7" t="s">
        <v>1191</v>
      </c>
      <c r="N86" s="7" t="s">
        <v>92</v>
      </c>
      <c r="O86" s="7"/>
      <c r="P86" s="7"/>
      <c r="Q86" s="8" t="s">
        <v>1193</v>
      </c>
      <c r="R86" s="7" t="s">
        <v>1194</v>
      </c>
      <c r="S86" s="7"/>
    </row>
    <row r="87" customFormat="false" ht="23.85" hidden="false" customHeight="false" outlineLevel="0" collapsed="false">
      <c r="A87" s="7" t="s">
        <v>1196</v>
      </c>
      <c r="B87" s="7" t="s">
        <v>116</v>
      </c>
      <c r="C87" s="7" t="s">
        <v>985</v>
      </c>
      <c r="D87" s="7" t="s">
        <v>78</v>
      </c>
      <c r="E87" s="7" t="s">
        <v>1197</v>
      </c>
      <c r="F87" s="7" t="s">
        <v>866</v>
      </c>
      <c r="G87" s="7" t="s">
        <v>85</v>
      </c>
      <c r="H87" s="7" t="s">
        <v>105</v>
      </c>
      <c r="I87" s="7" t="s">
        <v>87</v>
      </c>
      <c r="J87" s="7"/>
      <c r="K87" s="7"/>
      <c r="L87" s="7" t="s">
        <v>88</v>
      </c>
      <c r="M87" s="7" t="s">
        <v>988</v>
      </c>
      <c r="N87" s="7" t="s">
        <v>109</v>
      </c>
      <c r="O87" s="7" t="s">
        <v>1199</v>
      </c>
      <c r="P87" s="7"/>
      <c r="Q87" s="8" t="s">
        <v>1200</v>
      </c>
      <c r="R87" s="7"/>
      <c r="S87" s="7"/>
    </row>
    <row r="88" customFormat="false" ht="23.85" hidden="false" customHeight="false" outlineLevel="0" collapsed="false">
      <c r="A88" s="7" t="s">
        <v>1201</v>
      </c>
      <c r="B88" s="7" t="s">
        <v>116</v>
      </c>
      <c r="C88" s="7" t="s">
        <v>985</v>
      </c>
      <c r="D88" s="7" t="s">
        <v>78</v>
      </c>
      <c r="E88" s="7" t="s">
        <v>1202</v>
      </c>
      <c r="F88" s="7" t="s">
        <v>866</v>
      </c>
      <c r="G88" s="7" t="s">
        <v>85</v>
      </c>
      <c r="H88" s="7" t="s">
        <v>105</v>
      </c>
      <c r="I88" s="7" t="s">
        <v>87</v>
      </c>
      <c r="J88" s="7"/>
      <c r="K88" s="7"/>
      <c r="L88" s="7" t="s">
        <v>88</v>
      </c>
      <c r="M88" s="7" t="s">
        <v>988</v>
      </c>
      <c r="N88" s="7" t="s">
        <v>109</v>
      </c>
      <c r="O88" s="7" t="s">
        <v>1205</v>
      </c>
      <c r="P88" s="7"/>
      <c r="Q88" s="8" t="s">
        <v>1206</v>
      </c>
      <c r="R88" s="7" t="s">
        <v>285</v>
      </c>
      <c r="S88" s="7"/>
    </row>
    <row r="89" customFormat="false" ht="23.85" hidden="false" customHeight="false" outlineLevel="0" collapsed="false">
      <c r="A89" s="7" t="s">
        <v>1211</v>
      </c>
      <c r="B89" s="7" t="s">
        <v>76</v>
      </c>
      <c r="C89" s="7" t="s">
        <v>985</v>
      </c>
      <c r="D89" s="7" t="s">
        <v>78</v>
      </c>
      <c r="E89" s="7" t="s">
        <v>1212</v>
      </c>
      <c r="F89" s="7" t="s">
        <v>1214</v>
      </c>
      <c r="G89" s="7" t="s">
        <v>85</v>
      </c>
      <c r="H89" s="7" t="s">
        <v>1216</v>
      </c>
      <c r="I89" s="7" t="s">
        <v>1217</v>
      </c>
      <c r="J89" s="7" t="s">
        <v>354</v>
      </c>
      <c r="K89" s="7" t="s">
        <v>1218</v>
      </c>
      <c r="L89" s="7" t="s">
        <v>1219</v>
      </c>
      <c r="M89" s="7" t="s">
        <v>1220</v>
      </c>
      <c r="N89" s="7" t="s">
        <v>109</v>
      </c>
      <c r="O89" s="7" t="s">
        <v>1223</v>
      </c>
      <c r="P89" s="7"/>
      <c r="Q89" s="8" t="s">
        <v>1224</v>
      </c>
      <c r="R89" s="7"/>
      <c r="S89" s="7"/>
    </row>
    <row r="90" customFormat="false" ht="23.85" hidden="false" customHeight="false" outlineLevel="0" collapsed="false">
      <c r="A90" s="7" t="s">
        <v>1236</v>
      </c>
      <c r="B90" s="7" t="s">
        <v>116</v>
      </c>
      <c r="C90" s="7" t="s">
        <v>985</v>
      </c>
      <c r="D90" s="7" t="s">
        <v>98</v>
      </c>
      <c r="E90" s="7" t="s">
        <v>1237</v>
      </c>
      <c r="F90" s="7" t="s">
        <v>1238</v>
      </c>
      <c r="G90" s="7" t="s">
        <v>85</v>
      </c>
      <c r="H90" s="7" t="s">
        <v>105</v>
      </c>
      <c r="I90" s="7" t="s">
        <v>87</v>
      </c>
      <c r="J90" s="7" t="s">
        <v>1240</v>
      </c>
      <c r="K90" s="7"/>
      <c r="L90" s="7" t="s">
        <v>106</v>
      </c>
      <c r="M90" s="7" t="s">
        <v>988</v>
      </c>
      <c r="N90" s="7" t="s">
        <v>92</v>
      </c>
      <c r="O90" s="7"/>
      <c r="P90" s="7"/>
      <c r="Q90" s="8" t="s">
        <v>1243</v>
      </c>
      <c r="R90" s="7" t="s">
        <v>1244</v>
      </c>
      <c r="S90" s="7" t="s">
        <v>1245</v>
      </c>
    </row>
    <row r="91" customFormat="false" ht="23.85" hidden="false" customHeight="false" outlineLevel="0" collapsed="false">
      <c r="A91" s="7" t="s">
        <v>1247</v>
      </c>
      <c r="B91" s="7" t="s">
        <v>116</v>
      </c>
      <c r="C91" s="7" t="s">
        <v>985</v>
      </c>
      <c r="D91" s="7" t="s">
        <v>78</v>
      </c>
      <c r="E91" s="7" t="s">
        <v>1248</v>
      </c>
      <c r="F91" s="7" t="s">
        <v>1238</v>
      </c>
      <c r="G91" s="7" t="s">
        <v>85</v>
      </c>
      <c r="H91" s="7" t="s">
        <v>105</v>
      </c>
      <c r="I91" s="7" t="s">
        <v>87</v>
      </c>
      <c r="J91" s="7" t="s">
        <v>1250</v>
      </c>
      <c r="K91" s="7"/>
      <c r="L91" s="7" t="s">
        <v>88</v>
      </c>
      <c r="M91" s="7" t="s">
        <v>988</v>
      </c>
      <c r="N91" s="7" t="s">
        <v>109</v>
      </c>
      <c r="O91" s="7" t="s">
        <v>1252</v>
      </c>
      <c r="P91" s="7"/>
      <c r="Q91" s="8" t="s">
        <v>1253</v>
      </c>
      <c r="R91" s="7" t="s">
        <v>1254</v>
      </c>
      <c r="S91" s="7"/>
    </row>
    <row r="92" customFormat="false" ht="23.85" hidden="false" customHeight="false" outlineLevel="0" collapsed="false">
      <c r="A92" s="7" t="s">
        <v>1256</v>
      </c>
      <c r="B92" s="7" t="s">
        <v>76</v>
      </c>
      <c r="C92" s="7" t="s">
        <v>985</v>
      </c>
      <c r="D92" s="7" t="s">
        <v>78</v>
      </c>
      <c r="E92" s="7" t="s">
        <v>1257</v>
      </c>
      <c r="F92" s="7" t="s">
        <v>83</v>
      </c>
      <c r="G92" s="7" t="s">
        <v>85</v>
      </c>
      <c r="H92" s="7" t="s">
        <v>1259</v>
      </c>
      <c r="I92" s="7" t="s">
        <v>1260</v>
      </c>
      <c r="J92" s="7" t="s">
        <v>1261</v>
      </c>
      <c r="K92" s="7"/>
      <c r="L92" s="7" t="s">
        <v>1262</v>
      </c>
      <c r="M92" s="7" t="s">
        <v>1263</v>
      </c>
      <c r="N92" s="7" t="s">
        <v>109</v>
      </c>
      <c r="O92" s="7" t="s">
        <v>1266</v>
      </c>
      <c r="P92" s="7"/>
      <c r="Q92" s="8" t="s">
        <v>1269</v>
      </c>
      <c r="R92" s="7" t="s">
        <v>1271</v>
      </c>
      <c r="S92" s="7"/>
    </row>
    <row r="93" customFormat="false" ht="23.85" hidden="false" customHeight="false" outlineLevel="0" collapsed="false">
      <c r="A93" s="7" t="s">
        <v>1273</v>
      </c>
      <c r="B93" s="7" t="s">
        <v>116</v>
      </c>
      <c r="C93" s="7" t="s">
        <v>985</v>
      </c>
      <c r="D93" s="7" t="s">
        <v>98</v>
      </c>
      <c r="E93" s="7" t="s">
        <v>1274</v>
      </c>
      <c r="F93" s="7" t="s">
        <v>83</v>
      </c>
      <c r="G93" s="7" t="s">
        <v>85</v>
      </c>
      <c r="H93" s="7" t="s">
        <v>105</v>
      </c>
      <c r="I93" s="7" t="s">
        <v>87</v>
      </c>
      <c r="J93" s="7"/>
      <c r="K93" s="7"/>
      <c r="L93" s="7" t="s">
        <v>106</v>
      </c>
      <c r="M93" s="7" t="s">
        <v>1276</v>
      </c>
      <c r="N93" s="7" t="s">
        <v>109</v>
      </c>
      <c r="O93" s="7" t="s">
        <v>1278</v>
      </c>
      <c r="P93" s="7" t="s">
        <v>1280</v>
      </c>
      <c r="Q93" s="8" t="s">
        <v>1279</v>
      </c>
      <c r="R93" s="7" t="s">
        <v>1281</v>
      </c>
      <c r="S93" s="7"/>
    </row>
    <row r="94" customFormat="false" ht="23.85" hidden="false" customHeight="false" outlineLevel="0" collapsed="false">
      <c r="A94" s="7" t="s">
        <v>1283</v>
      </c>
      <c r="B94" s="7" t="s">
        <v>116</v>
      </c>
      <c r="C94" s="7" t="s">
        <v>985</v>
      </c>
      <c r="D94" s="7" t="s">
        <v>98</v>
      </c>
      <c r="E94" s="7" t="s">
        <v>1284</v>
      </c>
      <c r="F94" s="7" t="s">
        <v>83</v>
      </c>
      <c r="G94" s="7" t="s">
        <v>85</v>
      </c>
      <c r="H94" s="7" t="s">
        <v>105</v>
      </c>
      <c r="I94" s="7" t="s">
        <v>87</v>
      </c>
      <c r="J94" s="7"/>
      <c r="K94" s="7"/>
      <c r="L94" s="7" t="s">
        <v>106</v>
      </c>
      <c r="M94" s="7" t="s">
        <v>988</v>
      </c>
      <c r="N94" s="7" t="s">
        <v>92</v>
      </c>
      <c r="O94" s="7"/>
      <c r="P94" s="7"/>
      <c r="Q94" s="8" t="s">
        <v>1287</v>
      </c>
      <c r="R94" s="7"/>
      <c r="S94" s="7"/>
    </row>
    <row r="95" customFormat="false" ht="23.85" hidden="false" customHeight="false" outlineLevel="0" collapsed="false">
      <c r="A95" s="7" t="s">
        <v>1288</v>
      </c>
      <c r="B95" s="7" t="s">
        <v>116</v>
      </c>
      <c r="C95" s="7" t="s">
        <v>985</v>
      </c>
      <c r="D95" s="7" t="s">
        <v>98</v>
      </c>
      <c r="E95" s="7" t="s">
        <v>1289</v>
      </c>
      <c r="F95" s="7" t="s">
        <v>83</v>
      </c>
      <c r="G95" s="7" t="s">
        <v>85</v>
      </c>
      <c r="H95" s="7" t="s">
        <v>105</v>
      </c>
      <c r="I95" s="7" t="s">
        <v>87</v>
      </c>
      <c r="J95" s="7"/>
      <c r="K95" s="7"/>
      <c r="L95" s="7" t="s">
        <v>106</v>
      </c>
      <c r="M95" s="7" t="s">
        <v>988</v>
      </c>
      <c r="N95" s="7" t="s">
        <v>92</v>
      </c>
      <c r="O95" s="7"/>
      <c r="P95" s="7"/>
      <c r="Q95" s="8" t="s">
        <v>1293</v>
      </c>
      <c r="R95" s="7"/>
      <c r="S95" s="7"/>
    </row>
    <row r="96" customFormat="false" ht="23.85" hidden="false" customHeight="false" outlineLevel="0" collapsed="false">
      <c r="A96" s="7" t="s">
        <v>1294</v>
      </c>
      <c r="B96" s="7" t="s">
        <v>116</v>
      </c>
      <c r="C96" s="7" t="s">
        <v>985</v>
      </c>
      <c r="D96" s="7" t="s">
        <v>78</v>
      </c>
      <c r="E96" s="7" t="s">
        <v>1295</v>
      </c>
      <c r="F96" s="7" t="s">
        <v>83</v>
      </c>
      <c r="G96" s="7" t="s">
        <v>85</v>
      </c>
      <c r="H96" s="7" t="s">
        <v>105</v>
      </c>
      <c r="I96" s="7" t="s">
        <v>87</v>
      </c>
      <c r="J96" s="7"/>
      <c r="K96" s="7"/>
      <c r="L96" s="7" t="s">
        <v>88</v>
      </c>
      <c r="M96" s="7" t="s">
        <v>988</v>
      </c>
      <c r="N96" s="7" t="s">
        <v>109</v>
      </c>
      <c r="O96" s="7" t="s">
        <v>1299</v>
      </c>
      <c r="P96" s="7"/>
      <c r="Q96" s="8" t="s">
        <v>1301</v>
      </c>
      <c r="R96" s="7" t="s">
        <v>1302</v>
      </c>
      <c r="S96" s="7"/>
    </row>
    <row r="97" customFormat="false" ht="35.05" hidden="false" customHeight="false" outlineLevel="0" collapsed="false">
      <c r="A97" s="7" t="s">
        <v>1304</v>
      </c>
      <c r="B97" s="7" t="s">
        <v>116</v>
      </c>
      <c r="C97" s="7" t="s">
        <v>985</v>
      </c>
      <c r="D97" s="7" t="s">
        <v>78</v>
      </c>
      <c r="E97" s="7" t="s">
        <v>1305</v>
      </c>
      <c r="F97" s="7" t="s">
        <v>83</v>
      </c>
      <c r="G97" s="7" t="s">
        <v>85</v>
      </c>
      <c r="H97" s="7" t="s">
        <v>1307</v>
      </c>
      <c r="I97" s="7" t="s">
        <v>87</v>
      </c>
      <c r="J97" s="7" t="s">
        <v>1308</v>
      </c>
      <c r="K97" s="7"/>
      <c r="L97" s="7" t="s">
        <v>88</v>
      </c>
      <c r="M97" s="7" t="s">
        <v>988</v>
      </c>
      <c r="N97" s="7" t="s">
        <v>109</v>
      </c>
      <c r="O97" s="7" t="s">
        <v>1311</v>
      </c>
      <c r="P97" s="7"/>
      <c r="Q97" s="8" t="s">
        <v>1301</v>
      </c>
      <c r="R97" s="7" t="s">
        <v>1313</v>
      </c>
      <c r="S97" s="7" t="s">
        <v>1314</v>
      </c>
    </row>
    <row r="98" customFormat="false" ht="23.85" hidden="false" customHeight="false" outlineLevel="0" collapsed="false">
      <c r="A98" s="7" t="s">
        <v>1316</v>
      </c>
      <c r="B98" s="7" t="s">
        <v>116</v>
      </c>
      <c r="C98" s="7" t="s">
        <v>985</v>
      </c>
      <c r="D98" s="7" t="s">
        <v>78</v>
      </c>
      <c r="E98" s="7" t="s">
        <v>1317</v>
      </c>
      <c r="F98" s="7" t="s">
        <v>83</v>
      </c>
      <c r="G98" s="7" t="s">
        <v>85</v>
      </c>
      <c r="H98" s="7" t="s">
        <v>1319</v>
      </c>
      <c r="I98" s="7" t="s">
        <v>87</v>
      </c>
      <c r="J98" s="7" t="s">
        <v>490</v>
      </c>
      <c r="K98" s="7"/>
      <c r="L98" s="7" t="s">
        <v>88</v>
      </c>
      <c r="M98" s="7" t="s">
        <v>1320</v>
      </c>
      <c r="N98" s="7" t="s">
        <v>109</v>
      </c>
      <c r="O98" s="7" t="s">
        <v>1322</v>
      </c>
      <c r="P98" s="7"/>
      <c r="Q98" s="8" t="s">
        <v>1323</v>
      </c>
      <c r="R98" s="7" t="s">
        <v>1324</v>
      </c>
      <c r="S98" s="7"/>
    </row>
    <row r="99" customFormat="false" ht="23.85" hidden="false" customHeight="false" outlineLevel="0" collapsed="false">
      <c r="A99" s="7" t="s">
        <v>1326</v>
      </c>
      <c r="B99" s="7" t="s">
        <v>116</v>
      </c>
      <c r="C99" s="7" t="s">
        <v>985</v>
      </c>
      <c r="D99" s="7" t="s">
        <v>78</v>
      </c>
      <c r="E99" s="7" t="s">
        <v>1327</v>
      </c>
      <c r="F99" s="7" t="s">
        <v>83</v>
      </c>
      <c r="G99" s="7" t="s">
        <v>85</v>
      </c>
      <c r="H99" s="7" t="s">
        <v>1329</v>
      </c>
      <c r="I99" s="7" t="s">
        <v>87</v>
      </c>
      <c r="J99" s="7" t="s">
        <v>1330</v>
      </c>
      <c r="K99" s="7"/>
      <c r="L99" s="7" t="s">
        <v>88</v>
      </c>
      <c r="M99" s="7" t="s">
        <v>988</v>
      </c>
      <c r="N99" s="7" t="s">
        <v>109</v>
      </c>
      <c r="O99" s="7" t="s">
        <v>1333</v>
      </c>
      <c r="P99" s="7"/>
      <c r="Q99" s="8" t="s">
        <v>1335</v>
      </c>
      <c r="R99" s="7" t="s">
        <v>1336</v>
      </c>
      <c r="S99" s="7"/>
    </row>
    <row r="100" customFormat="false" ht="23.85" hidden="false" customHeight="false" outlineLevel="0" collapsed="false">
      <c r="A100" s="7" t="s">
        <v>1383</v>
      </c>
      <c r="B100" s="7" t="s">
        <v>76</v>
      </c>
      <c r="C100" s="7" t="s">
        <v>985</v>
      </c>
      <c r="D100" s="7" t="s">
        <v>78</v>
      </c>
      <c r="E100" s="7" t="s">
        <v>1384</v>
      </c>
      <c r="F100" s="7" t="s">
        <v>888</v>
      </c>
      <c r="G100" s="7" t="s">
        <v>291</v>
      </c>
      <c r="H100" s="7" t="s">
        <v>1386</v>
      </c>
      <c r="I100" s="7" t="s">
        <v>1387</v>
      </c>
      <c r="J100" s="7" t="s">
        <v>354</v>
      </c>
      <c r="K100" s="7"/>
      <c r="L100" s="7" t="s">
        <v>1388</v>
      </c>
      <c r="M100" s="7" t="s">
        <v>1389</v>
      </c>
      <c r="N100" s="7" t="s">
        <v>109</v>
      </c>
      <c r="O100" s="7" t="s">
        <v>1391</v>
      </c>
      <c r="P100" s="7"/>
      <c r="Q100" s="8" t="s">
        <v>1392</v>
      </c>
      <c r="R100" s="7" t="s">
        <v>1394</v>
      </c>
      <c r="S100" s="7"/>
    </row>
    <row r="101" customFormat="false" ht="23.85" hidden="false" customHeight="false" outlineLevel="0" collapsed="false">
      <c r="A101" s="7" t="s">
        <v>1396</v>
      </c>
      <c r="B101" s="7" t="s">
        <v>116</v>
      </c>
      <c r="C101" s="7" t="s">
        <v>985</v>
      </c>
      <c r="D101" s="7" t="s">
        <v>98</v>
      </c>
      <c r="E101" s="7" t="s">
        <v>1397</v>
      </c>
      <c r="F101" s="7" t="s">
        <v>888</v>
      </c>
      <c r="G101" s="7" t="s">
        <v>85</v>
      </c>
      <c r="H101" s="7" t="s">
        <v>105</v>
      </c>
      <c r="I101" s="7" t="s">
        <v>1399</v>
      </c>
      <c r="J101" s="7" t="s">
        <v>1400</v>
      </c>
      <c r="K101" s="7"/>
      <c r="L101" s="7" t="s">
        <v>106</v>
      </c>
      <c r="M101" s="7" t="s">
        <v>1401</v>
      </c>
      <c r="N101" s="7" t="s">
        <v>92</v>
      </c>
      <c r="O101" s="7"/>
      <c r="P101" s="7"/>
      <c r="Q101" s="8" t="s">
        <v>1404</v>
      </c>
      <c r="R101" s="7" t="s">
        <v>1405</v>
      </c>
      <c r="S101" s="7" t="s">
        <v>1406</v>
      </c>
    </row>
    <row r="102" customFormat="false" ht="46.25" hidden="false" customHeight="false" outlineLevel="0" collapsed="false">
      <c r="A102" s="7" t="s">
        <v>1408</v>
      </c>
      <c r="B102" s="7" t="s">
        <v>116</v>
      </c>
      <c r="C102" s="7" t="s">
        <v>985</v>
      </c>
      <c r="D102" s="7" t="s">
        <v>98</v>
      </c>
      <c r="E102" s="7" t="s">
        <v>1409</v>
      </c>
      <c r="F102" s="7" t="s">
        <v>888</v>
      </c>
      <c r="G102" s="7" t="s">
        <v>85</v>
      </c>
      <c r="H102" s="7" t="s">
        <v>105</v>
      </c>
      <c r="I102" s="7" t="s">
        <v>87</v>
      </c>
      <c r="J102" s="7" t="s">
        <v>1411</v>
      </c>
      <c r="K102" s="7"/>
      <c r="L102" s="7" t="s">
        <v>106</v>
      </c>
      <c r="M102" s="7" t="s">
        <v>1276</v>
      </c>
      <c r="N102" s="7" t="s">
        <v>109</v>
      </c>
      <c r="O102" s="7" t="s">
        <v>1413</v>
      </c>
      <c r="P102" s="7"/>
      <c r="Q102" s="8" t="s">
        <v>1414</v>
      </c>
      <c r="R102" s="7" t="s">
        <v>1415</v>
      </c>
      <c r="S102" s="7"/>
    </row>
    <row r="103" customFormat="false" ht="23.85" hidden="false" customHeight="false" outlineLevel="0" collapsed="false">
      <c r="A103" s="7" t="s">
        <v>1417</v>
      </c>
      <c r="B103" s="7" t="s">
        <v>116</v>
      </c>
      <c r="C103" s="7" t="s">
        <v>985</v>
      </c>
      <c r="D103" s="7" t="s">
        <v>78</v>
      </c>
      <c r="E103" s="7" t="s">
        <v>1418</v>
      </c>
      <c r="F103" s="7" t="s">
        <v>888</v>
      </c>
      <c r="G103" s="7" t="s">
        <v>85</v>
      </c>
      <c r="H103" s="7" t="s">
        <v>1420</v>
      </c>
      <c r="I103" s="7" t="s">
        <v>1421</v>
      </c>
      <c r="J103" s="7"/>
      <c r="K103" s="7"/>
      <c r="L103" s="7" t="s">
        <v>88</v>
      </c>
      <c r="M103" s="7" t="s">
        <v>1422</v>
      </c>
      <c r="N103" s="7" t="s">
        <v>92</v>
      </c>
      <c r="O103" s="7"/>
      <c r="P103" s="7"/>
      <c r="Q103" s="8" t="s">
        <v>1404</v>
      </c>
      <c r="R103" s="7" t="s">
        <v>1425</v>
      </c>
      <c r="S103" s="7"/>
    </row>
    <row r="104" customFormat="false" ht="57.45" hidden="false" customHeight="false" outlineLevel="0" collapsed="false">
      <c r="A104" s="7" t="s">
        <v>1427</v>
      </c>
      <c r="B104" s="7" t="s">
        <v>116</v>
      </c>
      <c r="C104" s="7" t="s">
        <v>985</v>
      </c>
      <c r="D104" s="7" t="s">
        <v>78</v>
      </c>
      <c r="E104" s="7" t="s">
        <v>1428</v>
      </c>
      <c r="F104" s="7" t="s">
        <v>888</v>
      </c>
      <c r="G104" s="7" t="s">
        <v>85</v>
      </c>
      <c r="H104" s="7" t="s">
        <v>1430</v>
      </c>
      <c r="I104" s="7" t="s">
        <v>87</v>
      </c>
      <c r="J104" s="7"/>
      <c r="K104" s="7"/>
      <c r="L104" s="7" t="s">
        <v>88</v>
      </c>
      <c r="M104" s="7" t="s">
        <v>988</v>
      </c>
      <c r="N104" s="7" t="s">
        <v>109</v>
      </c>
      <c r="O104" s="7" t="s">
        <v>1433</v>
      </c>
      <c r="P104" s="7"/>
      <c r="Q104" s="8" t="s">
        <v>1404</v>
      </c>
      <c r="R104" s="7" t="s">
        <v>1435</v>
      </c>
      <c r="S104" s="7"/>
    </row>
    <row r="105" customFormat="false" ht="35.05" hidden="false" customHeight="false" outlineLevel="0" collapsed="false">
      <c r="A105" s="7" t="s">
        <v>1437</v>
      </c>
      <c r="B105" s="7" t="s">
        <v>116</v>
      </c>
      <c r="C105" s="7" t="s">
        <v>985</v>
      </c>
      <c r="D105" s="7" t="s">
        <v>78</v>
      </c>
      <c r="E105" s="7" t="s">
        <v>1438</v>
      </c>
      <c r="F105" s="7" t="s">
        <v>888</v>
      </c>
      <c r="G105" s="7" t="s">
        <v>85</v>
      </c>
      <c r="H105" s="7" t="s">
        <v>1440</v>
      </c>
      <c r="I105" s="7" t="s">
        <v>1441</v>
      </c>
      <c r="J105" s="7"/>
      <c r="K105" s="7" t="s">
        <v>1442</v>
      </c>
      <c r="L105" s="7" t="s">
        <v>1443</v>
      </c>
      <c r="M105" s="7" t="s">
        <v>1444</v>
      </c>
      <c r="N105" s="7" t="s">
        <v>92</v>
      </c>
      <c r="O105" s="7"/>
      <c r="P105" s="7"/>
      <c r="Q105" s="8" t="s">
        <v>1447</v>
      </c>
      <c r="R105" s="7" t="s">
        <v>1448</v>
      </c>
      <c r="S105" s="7" t="s">
        <v>1449</v>
      </c>
    </row>
    <row r="106" customFormat="false" ht="68.65" hidden="false" customHeight="false" outlineLevel="0" collapsed="false">
      <c r="A106" s="7" t="s">
        <v>1451</v>
      </c>
      <c r="B106" s="7" t="s">
        <v>116</v>
      </c>
      <c r="C106" s="7" t="s">
        <v>985</v>
      </c>
      <c r="D106" s="7" t="s">
        <v>78</v>
      </c>
      <c r="E106" s="7" t="s">
        <v>1452</v>
      </c>
      <c r="F106" s="7" t="s">
        <v>888</v>
      </c>
      <c r="G106" s="7" t="s">
        <v>85</v>
      </c>
      <c r="H106" s="7" t="s">
        <v>1454</v>
      </c>
      <c r="I106" s="7" t="s">
        <v>87</v>
      </c>
      <c r="J106" s="7" t="s">
        <v>1455</v>
      </c>
      <c r="K106" s="7"/>
      <c r="L106" s="7" t="s">
        <v>88</v>
      </c>
      <c r="M106" s="7" t="s">
        <v>988</v>
      </c>
      <c r="N106" s="7" t="s">
        <v>92</v>
      </c>
      <c r="O106" s="7"/>
      <c r="P106" s="7"/>
      <c r="Q106" s="8" t="s">
        <v>1457</v>
      </c>
      <c r="R106" s="7" t="s">
        <v>1459</v>
      </c>
      <c r="S106" s="7"/>
    </row>
    <row r="107" customFormat="false" ht="23.85" hidden="false" customHeight="false" outlineLevel="0" collapsed="false">
      <c r="A107" s="7" t="s">
        <v>1469</v>
      </c>
      <c r="B107" s="7" t="s">
        <v>116</v>
      </c>
      <c r="C107" s="7" t="s">
        <v>985</v>
      </c>
      <c r="D107" s="7" t="s">
        <v>98</v>
      </c>
      <c r="E107" s="7" t="s">
        <v>1470</v>
      </c>
      <c r="F107" s="7" t="s">
        <v>1471</v>
      </c>
      <c r="G107" s="7" t="s">
        <v>85</v>
      </c>
      <c r="H107" s="7" t="s">
        <v>105</v>
      </c>
      <c r="I107" s="7" t="s">
        <v>87</v>
      </c>
      <c r="J107" s="7"/>
      <c r="K107" s="7"/>
      <c r="L107" s="7" t="s">
        <v>106</v>
      </c>
      <c r="M107" s="7" t="s">
        <v>988</v>
      </c>
      <c r="N107" s="7" t="s">
        <v>109</v>
      </c>
      <c r="O107" s="7" t="s">
        <v>1473</v>
      </c>
      <c r="P107" s="7"/>
      <c r="Q107" s="8" t="s">
        <v>1474</v>
      </c>
      <c r="R107" s="7"/>
      <c r="S107" s="7"/>
    </row>
    <row r="108" customFormat="false" ht="23.85" hidden="false" customHeight="false" outlineLevel="0" collapsed="false">
      <c r="A108" s="7" t="s">
        <v>1475</v>
      </c>
      <c r="B108" s="7" t="s">
        <v>116</v>
      </c>
      <c r="C108" s="7" t="s">
        <v>985</v>
      </c>
      <c r="D108" s="7" t="s">
        <v>98</v>
      </c>
      <c r="E108" s="7" t="s">
        <v>1476</v>
      </c>
      <c r="F108" s="7" t="s">
        <v>1471</v>
      </c>
      <c r="G108" s="7" t="s">
        <v>85</v>
      </c>
      <c r="H108" s="7" t="s">
        <v>105</v>
      </c>
      <c r="I108" s="7" t="s">
        <v>87</v>
      </c>
      <c r="J108" s="7"/>
      <c r="K108" s="7"/>
      <c r="L108" s="7" t="s">
        <v>106</v>
      </c>
      <c r="M108" s="7" t="s">
        <v>988</v>
      </c>
      <c r="N108" s="7" t="s">
        <v>92</v>
      </c>
      <c r="O108" s="7"/>
      <c r="P108" s="7"/>
      <c r="Q108" s="8" t="s">
        <v>1479</v>
      </c>
      <c r="R108" s="7"/>
      <c r="S108" s="7"/>
    </row>
    <row r="109" customFormat="false" ht="23.85" hidden="false" customHeight="false" outlineLevel="0" collapsed="false">
      <c r="A109" s="7" t="s">
        <v>1485</v>
      </c>
      <c r="B109" s="7" t="s">
        <v>76</v>
      </c>
      <c r="C109" s="7" t="s">
        <v>985</v>
      </c>
      <c r="D109" s="7" t="s">
        <v>78</v>
      </c>
      <c r="E109" s="7" t="s">
        <v>1486</v>
      </c>
      <c r="F109" s="7" t="s">
        <v>1487</v>
      </c>
      <c r="G109" s="7" t="s">
        <v>85</v>
      </c>
      <c r="H109" s="7" t="s">
        <v>105</v>
      </c>
      <c r="I109" s="7" t="s">
        <v>87</v>
      </c>
      <c r="J109" s="7"/>
      <c r="K109" s="7"/>
      <c r="L109" s="7" t="s">
        <v>1488</v>
      </c>
      <c r="M109" s="7" t="s">
        <v>988</v>
      </c>
      <c r="N109" s="7" t="s">
        <v>109</v>
      </c>
      <c r="O109" s="7" t="s">
        <v>1490</v>
      </c>
      <c r="P109" s="7"/>
      <c r="Q109" s="8" t="s">
        <v>1491</v>
      </c>
      <c r="R109" s="7"/>
      <c r="S109" s="7"/>
    </row>
    <row r="110" customFormat="false" ht="35.05" hidden="false" customHeight="false" outlineLevel="0" collapsed="false">
      <c r="A110" s="7" t="s">
        <v>1492</v>
      </c>
      <c r="B110" s="7" t="s">
        <v>76</v>
      </c>
      <c r="C110" s="7" t="s">
        <v>985</v>
      </c>
      <c r="D110" s="7" t="s">
        <v>78</v>
      </c>
      <c r="E110" s="7" t="s">
        <v>1493</v>
      </c>
      <c r="F110" s="7" t="s">
        <v>1487</v>
      </c>
      <c r="G110" s="7" t="s">
        <v>85</v>
      </c>
      <c r="H110" s="7" t="s">
        <v>1495</v>
      </c>
      <c r="I110" s="7" t="s">
        <v>1496</v>
      </c>
      <c r="J110" s="7"/>
      <c r="K110" s="7" t="s">
        <v>1497</v>
      </c>
      <c r="L110" s="7" t="s">
        <v>1498</v>
      </c>
      <c r="M110" s="7" t="s">
        <v>1499</v>
      </c>
      <c r="N110" s="7" t="s">
        <v>109</v>
      </c>
      <c r="O110" s="7" t="s">
        <v>1502</v>
      </c>
      <c r="P110" s="7" t="s">
        <v>1504</v>
      </c>
      <c r="Q110" s="8" t="s">
        <v>1505</v>
      </c>
      <c r="R110" s="7" t="s">
        <v>1506</v>
      </c>
      <c r="S110" s="7"/>
    </row>
    <row r="111" customFormat="false" ht="23.85" hidden="false" customHeight="false" outlineLevel="0" collapsed="false">
      <c r="A111" s="7" t="s">
        <v>1508</v>
      </c>
      <c r="B111" s="7" t="s">
        <v>116</v>
      </c>
      <c r="C111" s="7" t="s">
        <v>985</v>
      </c>
      <c r="D111" s="7" t="s">
        <v>98</v>
      </c>
      <c r="E111" s="7" t="s">
        <v>1509</v>
      </c>
      <c r="F111" s="7" t="s">
        <v>1487</v>
      </c>
      <c r="G111" s="7" t="s">
        <v>85</v>
      </c>
      <c r="H111" s="7" t="s">
        <v>105</v>
      </c>
      <c r="I111" s="7" t="s">
        <v>87</v>
      </c>
      <c r="J111" s="7"/>
      <c r="K111" s="7"/>
      <c r="L111" s="7" t="s">
        <v>106</v>
      </c>
      <c r="M111" s="7" t="s">
        <v>988</v>
      </c>
      <c r="N111" s="7" t="s">
        <v>109</v>
      </c>
      <c r="O111" s="7" t="s">
        <v>1511</v>
      </c>
      <c r="P111" s="7"/>
      <c r="Q111" s="8" t="s">
        <v>1512</v>
      </c>
      <c r="R111" s="7"/>
      <c r="S111" s="7"/>
    </row>
    <row r="112" customFormat="false" ht="23.85" hidden="false" customHeight="false" outlineLevel="0" collapsed="false">
      <c r="A112" s="7" t="s">
        <v>1513</v>
      </c>
      <c r="B112" s="7" t="s">
        <v>116</v>
      </c>
      <c r="C112" s="7" t="s">
        <v>985</v>
      </c>
      <c r="D112" s="7" t="s">
        <v>98</v>
      </c>
      <c r="E112" s="7" t="s">
        <v>1514</v>
      </c>
      <c r="F112" s="7" t="s">
        <v>1487</v>
      </c>
      <c r="G112" s="7" t="s">
        <v>85</v>
      </c>
      <c r="H112" s="7" t="s">
        <v>105</v>
      </c>
      <c r="I112" s="7" t="s">
        <v>87</v>
      </c>
      <c r="J112" s="7"/>
      <c r="K112" s="7"/>
      <c r="L112" s="7" t="s">
        <v>106</v>
      </c>
      <c r="M112" s="7" t="s">
        <v>988</v>
      </c>
      <c r="N112" s="7" t="s">
        <v>92</v>
      </c>
      <c r="O112" s="7"/>
      <c r="P112" s="7"/>
      <c r="Q112" s="8" t="s">
        <v>1518</v>
      </c>
      <c r="R112" s="7"/>
      <c r="S112" s="7"/>
    </row>
    <row r="113" customFormat="false" ht="23.85" hidden="false" customHeight="false" outlineLevel="0" collapsed="false">
      <c r="A113" s="7" t="s">
        <v>1519</v>
      </c>
      <c r="B113" s="7" t="s">
        <v>116</v>
      </c>
      <c r="C113" s="7" t="s">
        <v>985</v>
      </c>
      <c r="D113" s="7" t="s">
        <v>98</v>
      </c>
      <c r="E113" s="7" t="s">
        <v>1520</v>
      </c>
      <c r="F113" s="7" t="s">
        <v>1487</v>
      </c>
      <c r="G113" s="7" t="s">
        <v>85</v>
      </c>
      <c r="H113" s="7" t="s">
        <v>105</v>
      </c>
      <c r="I113" s="7" t="s">
        <v>87</v>
      </c>
      <c r="J113" s="7"/>
      <c r="K113" s="7"/>
      <c r="L113" s="7" t="s">
        <v>106</v>
      </c>
      <c r="M113" s="7" t="s">
        <v>988</v>
      </c>
      <c r="N113" s="7" t="s">
        <v>92</v>
      </c>
      <c r="O113" s="7"/>
      <c r="P113" s="7"/>
      <c r="Q113" s="8" t="s">
        <v>1522</v>
      </c>
      <c r="R113" s="7"/>
      <c r="S113" s="7"/>
    </row>
    <row r="114" customFormat="false" ht="23.85" hidden="false" customHeight="false" outlineLevel="0" collapsed="false">
      <c r="A114" s="7" t="s">
        <v>1524</v>
      </c>
      <c r="B114" s="7" t="s">
        <v>116</v>
      </c>
      <c r="C114" s="7" t="s">
        <v>985</v>
      </c>
      <c r="D114" s="7" t="s">
        <v>98</v>
      </c>
      <c r="E114" s="7" t="s">
        <v>1525</v>
      </c>
      <c r="F114" s="7" t="s">
        <v>1487</v>
      </c>
      <c r="G114" s="7" t="s">
        <v>85</v>
      </c>
      <c r="H114" s="7" t="s">
        <v>105</v>
      </c>
      <c r="I114" s="7" t="s">
        <v>87</v>
      </c>
      <c r="J114" s="7"/>
      <c r="K114" s="7"/>
      <c r="L114" s="7" t="s">
        <v>106</v>
      </c>
      <c r="M114" s="7" t="s">
        <v>988</v>
      </c>
      <c r="N114" s="7" t="s">
        <v>92</v>
      </c>
      <c r="O114" s="7"/>
      <c r="P114" s="7"/>
      <c r="Q114" s="8" t="s">
        <v>1527</v>
      </c>
      <c r="R114" s="7"/>
      <c r="S114" s="7"/>
    </row>
    <row r="115" customFormat="false" ht="23.85" hidden="false" customHeight="false" outlineLevel="0" collapsed="false">
      <c r="A115" s="7" t="s">
        <v>1528</v>
      </c>
      <c r="B115" s="7" t="s">
        <v>116</v>
      </c>
      <c r="C115" s="7" t="s">
        <v>985</v>
      </c>
      <c r="D115" s="7" t="s">
        <v>98</v>
      </c>
      <c r="E115" s="7" t="s">
        <v>1529</v>
      </c>
      <c r="F115" s="7" t="s">
        <v>1487</v>
      </c>
      <c r="G115" s="7" t="s">
        <v>85</v>
      </c>
      <c r="H115" s="7" t="s">
        <v>105</v>
      </c>
      <c r="I115" s="7" t="s">
        <v>87</v>
      </c>
      <c r="J115" s="7"/>
      <c r="K115" s="7"/>
      <c r="L115" s="7" t="s">
        <v>106</v>
      </c>
      <c r="M115" s="7" t="s">
        <v>988</v>
      </c>
      <c r="N115" s="7" t="s">
        <v>92</v>
      </c>
      <c r="O115" s="7"/>
      <c r="P115" s="7"/>
      <c r="Q115" s="8" t="s">
        <v>1530</v>
      </c>
      <c r="R115" s="7"/>
      <c r="S115" s="7"/>
    </row>
    <row r="116" customFormat="false" ht="23.85" hidden="false" customHeight="false" outlineLevel="0" collapsed="false">
      <c r="A116" s="7" t="s">
        <v>1531</v>
      </c>
      <c r="B116" s="7" t="s">
        <v>116</v>
      </c>
      <c r="C116" s="7" t="s">
        <v>985</v>
      </c>
      <c r="D116" s="7" t="s">
        <v>98</v>
      </c>
      <c r="E116" s="7" t="s">
        <v>1532</v>
      </c>
      <c r="F116" s="7" t="s">
        <v>1487</v>
      </c>
      <c r="G116" s="7" t="s">
        <v>85</v>
      </c>
      <c r="H116" s="7" t="s">
        <v>105</v>
      </c>
      <c r="I116" s="7" t="s">
        <v>87</v>
      </c>
      <c r="J116" s="7"/>
      <c r="K116" s="7"/>
      <c r="L116" s="7" t="s">
        <v>106</v>
      </c>
      <c r="M116" s="7" t="s">
        <v>988</v>
      </c>
      <c r="N116" s="7" t="s">
        <v>92</v>
      </c>
      <c r="O116" s="7"/>
      <c r="P116" s="7"/>
      <c r="Q116" s="8" t="s">
        <v>1533</v>
      </c>
      <c r="R116" s="7"/>
      <c r="S116" s="7"/>
    </row>
    <row r="117" customFormat="false" ht="23.85" hidden="false" customHeight="false" outlineLevel="0" collapsed="false">
      <c r="A117" s="7" t="s">
        <v>1534</v>
      </c>
      <c r="B117" s="7" t="s">
        <v>116</v>
      </c>
      <c r="C117" s="7" t="s">
        <v>985</v>
      </c>
      <c r="D117" s="7" t="s">
        <v>98</v>
      </c>
      <c r="E117" s="7" t="s">
        <v>1535</v>
      </c>
      <c r="F117" s="7" t="s">
        <v>1487</v>
      </c>
      <c r="G117" s="7" t="s">
        <v>85</v>
      </c>
      <c r="H117" s="7" t="s">
        <v>105</v>
      </c>
      <c r="I117" s="7" t="s">
        <v>87</v>
      </c>
      <c r="J117" s="7"/>
      <c r="K117" s="7"/>
      <c r="L117" s="7" t="s">
        <v>106</v>
      </c>
      <c r="M117" s="7" t="s">
        <v>1276</v>
      </c>
      <c r="N117" s="7" t="s">
        <v>92</v>
      </c>
      <c r="O117" s="7"/>
      <c r="P117" s="7"/>
      <c r="Q117" s="8" t="s">
        <v>1537</v>
      </c>
      <c r="R117" s="7"/>
      <c r="S117" s="7"/>
    </row>
    <row r="118" customFormat="false" ht="23.85" hidden="false" customHeight="false" outlineLevel="0" collapsed="false">
      <c r="A118" s="7" t="s">
        <v>1539</v>
      </c>
      <c r="B118" s="7" t="s">
        <v>116</v>
      </c>
      <c r="C118" s="7" t="s">
        <v>985</v>
      </c>
      <c r="D118" s="7" t="s">
        <v>98</v>
      </c>
      <c r="E118" s="7" t="s">
        <v>1540</v>
      </c>
      <c r="F118" s="7" t="s">
        <v>1487</v>
      </c>
      <c r="G118" s="7" t="s">
        <v>85</v>
      </c>
      <c r="H118" s="7" t="s">
        <v>105</v>
      </c>
      <c r="I118" s="7" t="s">
        <v>87</v>
      </c>
      <c r="J118" s="7"/>
      <c r="K118" s="7"/>
      <c r="L118" s="7" t="s">
        <v>106</v>
      </c>
      <c r="M118" s="7" t="s">
        <v>988</v>
      </c>
      <c r="N118" s="7" t="s">
        <v>92</v>
      </c>
      <c r="O118" s="7"/>
      <c r="P118" s="7"/>
      <c r="Q118" s="8" t="s">
        <v>1543</v>
      </c>
      <c r="R118" s="7"/>
      <c r="S118" s="7"/>
    </row>
    <row r="119" customFormat="false" ht="23.85" hidden="false" customHeight="false" outlineLevel="0" collapsed="false">
      <c r="A119" s="7" t="s">
        <v>1544</v>
      </c>
      <c r="B119" s="7" t="s">
        <v>116</v>
      </c>
      <c r="C119" s="7" t="s">
        <v>985</v>
      </c>
      <c r="D119" s="7" t="s">
        <v>98</v>
      </c>
      <c r="E119" s="7" t="s">
        <v>1545</v>
      </c>
      <c r="F119" s="7" t="s">
        <v>1487</v>
      </c>
      <c r="G119" s="7" t="s">
        <v>85</v>
      </c>
      <c r="H119" s="7" t="s">
        <v>105</v>
      </c>
      <c r="I119" s="7" t="s">
        <v>87</v>
      </c>
      <c r="J119" s="7"/>
      <c r="K119" s="7"/>
      <c r="L119" s="7" t="s">
        <v>106</v>
      </c>
      <c r="M119" s="7" t="s">
        <v>988</v>
      </c>
      <c r="N119" s="7" t="s">
        <v>92</v>
      </c>
      <c r="O119" s="7"/>
      <c r="P119" s="7"/>
      <c r="Q119" s="8" t="s">
        <v>1548</v>
      </c>
      <c r="R119" s="7" t="s">
        <v>1550</v>
      </c>
      <c r="S119" s="7"/>
    </row>
    <row r="120" customFormat="false" ht="23.85" hidden="false" customHeight="false" outlineLevel="0" collapsed="false">
      <c r="A120" s="7" t="s">
        <v>1552</v>
      </c>
      <c r="B120" s="7" t="s">
        <v>116</v>
      </c>
      <c r="C120" s="7" t="s">
        <v>985</v>
      </c>
      <c r="D120" s="7" t="s">
        <v>78</v>
      </c>
      <c r="E120" s="7" t="s">
        <v>1553</v>
      </c>
      <c r="F120" s="7" t="s">
        <v>1487</v>
      </c>
      <c r="G120" s="7" t="s">
        <v>85</v>
      </c>
      <c r="H120" s="7" t="s">
        <v>105</v>
      </c>
      <c r="I120" s="7" t="s">
        <v>87</v>
      </c>
      <c r="J120" s="7" t="s">
        <v>1555</v>
      </c>
      <c r="K120" s="7"/>
      <c r="L120" s="7" t="s">
        <v>88</v>
      </c>
      <c r="M120" s="7" t="s">
        <v>988</v>
      </c>
      <c r="N120" s="7" t="s">
        <v>109</v>
      </c>
      <c r="O120" s="7" t="s">
        <v>1558</v>
      </c>
      <c r="P120" s="7"/>
      <c r="Q120" s="8" t="s">
        <v>1559</v>
      </c>
      <c r="R120" s="7" t="s">
        <v>1561</v>
      </c>
      <c r="S120" s="7"/>
    </row>
    <row r="121" customFormat="false" ht="23.85" hidden="false" customHeight="false" outlineLevel="0" collapsed="false">
      <c r="A121" s="7" t="s">
        <v>1563</v>
      </c>
      <c r="B121" s="7" t="s">
        <v>116</v>
      </c>
      <c r="C121" s="7" t="s">
        <v>985</v>
      </c>
      <c r="D121" s="7" t="s">
        <v>78</v>
      </c>
      <c r="E121" s="7" t="s">
        <v>1564</v>
      </c>
      <c r="F121" s="7" t="s">
        <v>1487</v>
      </c>
      <c r="G121" s="7" t="s">
        <v>85</v>
      </c>
      <c r="H121" s="7" t="s">
        <v>105</v>
      </c>
      <c r="I121" s="7" t="s">
        <v>87</v>
      </c>
      <c r="J121" s="7" t="s">
        <v>1566</v>
      </c>
      <c r="K121" s="7"/>
      <c r="L121" s="7" t="s">
        <v>88</v>
      </c>
      <c r="M121" s="7" t="s">
        <v>988</v>
      </c>
      <c r="N121" s="7" t="s">
        <v>109</v>
      </c>
      <c r="O121" s="7" t="s">
        <v>1568</v>
      </c>
      <c r="P121" s="7"/>
      <c r="Q121" s="8" t="s">
        <v>1569</v>
      </c>
      <c r="R121" s="7" t="s">
        <v>1570</v>
      </c>
      <c r="S121" s="7"/>
    </row>
    <row r="122" customFormat="false" ht="23.85" hidden="false" customHeight="false" outlineLevel="0" collapsed="false">
      <c r="A122" s="7" t="s">
        <v>1572</v>
      </c>
      <c r="B122" s="7" t="s">
        <v>116</v>
      </c>
      <c r="C122" s="7" t="s">
        <v>985</v>
      </c>
      <c r="D122" s="7" t="s">
        <v>78</v>
      </c>
      <c r="E122" s="7" t="s">
        <v>1573</v>
      </c>
      <c r="F122" s="7" t="s">
        <v>1487</v>
      </c>
      <c r="G122" s="7" t="s">
        <v>85</v>
      </c>
      <c r="H122" s="7" t="s">
        <v>105</v>
      </c>
      <c r="I122" s="7" t="s">
        <v>87</v>
      </c>
      <c r="J122" s="7"/>
      <c r="K122" s="7"/>
      <c r="L122" s="7" t="s">
        <v>88</v>
      </c>
      <c r="M122" s="7" t="s">
        <v>988</v>
      </c>
      <c r="N122" s="7" t="s">
        <v>92</v>
      </c>
      <c r="O122" s="7"/>
      <c r="P122" s="7"/>
      <c r="Q122" s="8" t="s">
        <v>1518</v>
      </c>
      <c r="R122" s="7"/>
      <c r="S122" s="7"/>
    </row>
    <row r="123" customFormat="false" ht="23.85" hidden="false" customHeight="false" outlineLevel="0" collapsed="false">
      <c r="A123" s="7" t="s">
        <v>1576</v>
      </c>
      <c r="B123" s="7" t="s">
        <v>116</v>
      </c>
      <c r="C123" s="7" t="s">
        <v>985</v>
      </c>
      <c r="D123" s="7" t="s">
        <v>98</v>
      </c>
      <c r="E123" s="7" t="s">
        <v>1577</v>
      </c>
      <c r="F123" s="7" t="s">
        <v>1578</v>
      </c>
      <c r="G123" s="7" t="s">
        <v>85</v>
      </c>
      <c r="H123" s="7" t="s">
        <v>105</v>
      </c>
      <c r="I123" s="7" t="s">
        <v>87</v>
      </c>
      <c r="J123" s="7"/>
      <c r="K123" s="7"/>
      <c r="L123" s="7" t="s">
        <v>106</v>
      </c>
      <c r="M123" s="7" t="s">
        <v>988</v>
      </c>
      <c r="N123" s="7" t="s">
        <v>109</v>
      </c>
      <c r="O123" s="7" t="s">
        <v>1581</v>
      </c>
      <c r="P123" s="7"/>
      <c r="Q123" s="8" t="s">
        <v>1582</v>
      </c>
      <c r="R123" s="7"/>
      <c r="S123" s="7"/>
    </row>
    <row r="124" customFormat="false" ht="23.85" hidden="false" customHeight="false" outlineLevel="0" collapsed="false">
      <c r="A124" s="7" t="s">
        <v>1584</v>
      </c>
      <c r="B124" s="7" t="s">
        <v>116</v>
      </c>
      <c r="C124" s="7" t="s">
        <v>985</v>
      </c>
      <c r="D124" s="7" t="s">
        <v>98</v>
      </c>
      <c r="E124" s="7" t="s">
        <v>1585</v>
      </c>
      <c r="F124" s="7" t="s">
        <v>1578</v>
      </c>
      <c r="G124" s="7" t="s">
        <v>85</v>
      </c>
      <c r="H124" s="7" t="s">
        <v>1587</v>
      </c>
      <c r="I124" s="7" t="s">
        <v>87</v>
      </c>
      <c r="J124" s="7"/>
      <c r="K124" s="7"/>
      <c r="L124" s="7" t="s">
        <v>106</v>
      </c>
      <c r="M124" s="7" t="s">
        <v>988</v>
      </c>
      <c r="N124" s="7" t="s">
        <v>1014</v>
      </c>
      <c r="O124" s="7"/>
      <c r="P124" s="7"/>
      <c r="Q124" s="8" t="s">
        <v>1592</v>
      </c>
      <c r="R124" s="7" t="s">
        <v>1593</v>
      </c>
      <c r="S124" s="7"/>
    </row>
    <row r="125" customFormat="false" ht="23.85" hidden="false" customHeight="false" outlineLevel="0" collapsed="false">
      <c r="A125" s="7" t="s">
        <v>1595</v>
      </c>
      <c r="B125" s="7" t="s">
        <v>116</v>
      </c>
      <c r="C125" s="7" t="s">
        <v>985</v>
      </c>
      <c r="D125" s="7" t="s">
        <v>78</v>
      </c>
      <c r="E125" s="7" t="s">
        <v>1596</v>
      </c>
      <c r="F125" s="7" t="s">
        <v>1578</v>
      </c>
      <c r="G125" s="7" t="s">
        <v>85</v>
      </c>
      <c r="H125" s="7" t="s">
        <v>105</v>
      </c>
      <c r="I125" s="7" t="s">
        <v>87</v>
      </c>
      <c r="J125" s="7" t="s">
        <v>1598</v>
      </c>
      <c r="K125" s="7"/>
      <c r="L125" s="7" t="s">
        <v>88</v>
      </c>
      <c r="M125" s="7" t="s">
        <v>988</v>
      </c>
      <c r="N125" s="7" t="s">
        <v>1014</v>
      </c>
      <c r="O125" s="7"/>
      <c r="P125" s="7"/>
      <c r="Q125" s="8" t="s">
        <v>1602</v>
      </c>
      <c r="R125" s="7" t="s">
        <v>1603</v>
      </c>
      <c r="S125" s="7"/>
    </row>
    <row r="126" customFormat="false" ht="23.85" hidden="false" customHeight="false" outlineLevel="0" collapsed="false">
      <c r="A126" s="7" t="s">
        <v>1605</v>
      </c>
      <c r="B126" s="7" t="s">
        <v>116</v>
      </c>
      <c r="C126" s="7" t="s">
        <v>985</v>
      </c>
      <c r="D126" s="7" t="s">
        <v>78</v>
      </c>
      <c r="E126" s="7" t="s">
        <v>1606</v>
      </c>
      <c r="F126" s="7" t="s">
        <v>1578</v>
      </c>
      <c r="G126" s="7" t="s">
        <v>85</v>
      </c>
      <c r="H126" s="7" t="s">
        <v>105</v>
      </c>
      <c r="I126" s="7" t="s">
        <v>1608</v>
      </c>
      <c r="J126" s="7"/>
      <c r="K126" s="7"/>
      <c r="L126" s="7" t="s">
        <v>88</v>
      </c>
      <c r="M126" s="7" t="s">
        <v>1609</v>
      </c>
      <c r="N126" s="7" t="s">
        <v>109</v>
      </c>
      <c r="O126" s="7" t="s">
        <v>1611</v>
      </c>
      <c r="P126" s="7"/>
      <c r="Q126" s="8" t="s">
        <v>1612</v>
      </c>
      <c r="R126" s="7" t="s">
        <v>1613</v>
      </c>
      <c r="S126" s="7"/>
    </row>
    <row r="127" customFormat="false" ht="23.85" hidden="false" customHeight="false" outlineLevel="0" collapsed="false">
      <c r="A127" s="7" t="s">
        <v>1625</v>
      </c>
      <c r="B127" s="7" t="s">
        <v>76</v>
      </c>
      <c r="C127" s="7" t="s">
        <v>985</v>
      </c>
      <c r="D127" s="7" t="s">
        <v>78</v>
      </c>
      <c r="E127" s="7" t="s">
        <v>1626</v>
      </c>
      <c r="F127" s="7" t="s">
        <v>1627</v>
      </c>
      <c r="G127" s="7" t="s">
        <v>291</v>
      </c>
      <c r="H127" s="7" t="s">
        <v>1628</v>
      </c>
      <c r="I127" s="7" t="s">
        <v>1629</v>
      </c>
      <c r="J127" s="7" t="s">
        <v>1630</v>
      </c>
      <c r="K127" s="7"/>
      <c r="L127" s="7" t="s">
        <v>1631</v>
      </c>
      <c r="M127" s="7" t="s">
        <v>1632</v>
      </c>
      <c r="N127" s="7" t="s">
        <v>109</v>
      </c>
      <c r="O127" s="7" t="s">
        <v>1635</v>
      </c>
      <c r="P127" s="7" t="s">
        <v>1637</v>
      </c>
      <c r="Q127" s="8" t="s">
        <v>1636</v>
      </c>
      <c r="R127" s="7" t="s">
        <v>1638</v>
      </c>
      <c r="S127" s="7"/>
    </row>
    <row r="128" customFormat="false" ht="35.05" hidden="false" customHeight="false" outlineLevel="0" collapsed="false">
      <c r="A128" s="7" t="s">
        <v>1640</v>
      </c>
      <c r="B128" s="7" t="s">
        <v>116</v>
      </c>
      <c r="C128" s="7" t="s">
        <v>985</v>
      </c>
      <c r="D128" s="7" t="s">
        <v>98</v>
      </c>
      <c r="E128" s="7" t="s">
        <v>1641</v>
      </c>
      <c r="F128" s="7" t="s">
        <v>1627</v>
      </c>
      <c r="G128" s="7" t="s">
        <v>85</v>
      </c>
      <c r="H128" s="7" t="s">
        <v>1643</v>
      </c>
      <c r="I128" s="7" t="s">
        <v>87</v>
      </c>
      <c r="J128" s="7"/>
      <c r="K128" s="7"/>
      <c r="L128" s="7" t="s">
        <v>106</v>
      </c>
      <c r="M128" s="7" t="s">
        <v>988</v>
      </c>
      <c r="N128" s="7" t="s">
        <v>189</v>
      </c>
      <c r="O128" s="7"/>
      <c r="P128" s="7"/>
      <c r="Q128" s="8" t="s">
        <v>1646</v>
      </c>
      <c r="R128" s="7" t="s">
        <v>1647</v>
      </c>
      <c r="S128" s="7"/>
    </row>
    <row r="129" customFormat="false" ht="23.85" hidden="false" customHeight="false" outlineLevel="0" collapsed="false">
      <c r="A129" s="7" t="s">
        <v>1649</v>
      </c>
      <c r="B129" s="7" t="s">
        <v>116</v>
      </c>
      <c r="C129" s="7" t="s">
        <v>985</v>
      </c>
      <c r="D129" s="7" t="s">
        <v>78</v>
      </c>
      <c r="E129" s="7" t="s">
        <v>1650</v>
      </c>
      <c r="F129" s="7" t="s">
        <v>1627</v>
      </c>
      <c r="G129" s="7" t="s">
        <v>85</v>
      </c>
      <c r="H129" s="7" t="s">
        <v>1651</v>
      </c>
      <c r="I129" s="7" t="s">
        <v>87</v>
      </c>
      <c r="J129" s="7"/>
      <c r="K129" s="7"/>
      <c r="L129" s="7" t="s">
        <v>88</v>
      </c>
      <c r="M129" s="7" t="s">
        <v>988</v>
      </c>
      <c r="N129" s="7" t="s">
        <v>92</v>
      </c>
      <c r="O129" s="7"/>
      <c r="P129" s="7"/>
      <c r="Q129" s="8" t="s">
        <v>1646</v>
      </c>
      <c r="R129" s="7"/>
      <c r="S129" s="7"/>
    </row>
    <row r="130" customFormat="false" ht="23.85" hidden="false" customHeight="false" outlineLevel="0" collapsed="false">
      <c r="A130" s="7" t="s">
        <v>1665</v>
      </c>
      <c r="B130" s="7" t="s">
        <v>116</v>
      </c>
      <c r="C130" s="7" t="s">
        <v>985</v>
      </c>
      <c r="D130" s="7" t="s">
        <v>98</v>
      </c>
      <c r="E130" s="7" t="s">
        <v>1666</v>
      </c>
      <c r="F130" s="7" t="s">
        <v>1667</v>
      </c>
      <c r="G130" s="7" t="s">
        <v>85</v>
      </c>
      <c r="H130" s="7" t="s">
        <v>105</v>
      </c>
      <c r="I130" s="7" t="s">
        <v>87</v>
      </c>
      <c r="J130" s="7" t="s">
        <v>1669</v>
      </c>
      <c r="K130" s="7"/>
      <c r="L130" s="7" t="s">
        <v>106</v>
      </c>
      <c r="M130" s="7" t="s">
        <v>988</v>
      </c>
      <c r="N130" s="7" t="s">
        <v>1014</v>
      </c>
      <c r="O130" s="7"/>
      <c r="P130" s="7"/>
      <c r="Q130" s="8" t="s">
        <v>1672</v>
      </c>
      <c r="R130" s="7"/>
      <c r="S130" s="7"/>
    </row>
    <row r="131" customFormat="false" ht="23.85" hidden="false" customHeight="false" outlineLevel="0" collapsed="false">
      <c r="A131" s="7" t="s">
        <v>1674</v>
      </c>
      <c r="B131" s="7" t="s">
        <v>116</v>
      </c>
      <c r="C131" s="7" t="s">
        <v>985</v>
      </c>
      <c r="D131" s="7" t="s">
        <v>98</v>
      </c>
      <c r="E131" s="7" t="s">
        <v>1675</v>
      </c>
      <c r="F131" s="7" t="s">
        <v>726</v>
      </c>
      <c r="G131" s="7" t="s">
        <v>291</v>
      </c>
      <c r="H131" s="7" t="s">
        <v>1676</v>
      </c>
      <c r="I131" s="7" t="s">
        <v>1677</v>
      </c>
      <c r="J131" s="7"/>
      <c r="K131" s="7"/>
      <c r="L131" s="7" t="s">
        <v>1678</v>
      </c>
      <c r="M131" s="7" t="s">
        <v>988</v>
      </c>
      <c r="N131" s="7" t="s">
        <v>92</v>
      </c>
      <c r="O131" s="7"/>
      <c r="P131" s="7"/>
      <c r="Q131" s="8" t="s">
        <v>1680</v>
      </c>
      <c r="R131" s="7"/>
      <c r="S131" s="7"/>
    </row>
    <row r="132" customFormat="false" ht="23.85" hidden="false" customHeight="false" outlineLevel="0" collapsed="false">
      <c r="A132" s="7" t="s">
        <v>1688</v>
      </c>
      <c r="B132" s="7" t="s">
        <v>116</v>
      </c>
      <c r="C132" s="7" t="s">
        <v>985</v>
      </c>
      <c r="D132" s="7" t="s">
        <v>78</v>
      </c>
      <c r="E132" s="7" t="s">
        <v>1689</v>
      </c>
      <c r="F132" s="7" t="s">
        <v>1690</v>
      </c>
      <c r="G132" s="7" t="s">
        <v>85</v>
      </c>
      <c r="H132" s="7" t="s">
        <v>105</v>
      </c>
      <c r="I132" s="7" t="s">
        <v>87</v>
      </c>
      <c r="J132" s="7"/>
      <c r="K132" s="7"/>
      <c r="L132" s="7" t="s">
        <v>88</v>
      </c>
      <c r="M132" s="7" t="s">
        <v>988</v>
      </c>
      <c r="N132" s="7" t="s">
        <v>92</v>
      </c>
      <c r="O132" s="7"/>
      <c r="P132" s="7"/>
      <c r="Q132" s="8" t="s">
        <v>1694</v>
      </c>
      <c r="R132" s="7"/>
      <c r="S132" s="7"/>
    </row>
    <row r="133" customFormat="false" ht="23.85" hidden="false" customHeight="false" outlineLevel="0" collapsed="false">
      <c r="A133" s="7" t="s">
        <v>1704</v>
      </c>
      <c r="B133" s="7" t="s">
        <v>116</v>
      </c>
      <c r="C133" s="7" t="s">
        <v>985</v>
      </c>
      <c r="D133" s="7" t="s">
        <v>78</v>
      </c>
      <c r="E133" s="7" t="s">
        <v>1705</v>
      </c>
      <c r="F133" s="7" t="s">
        <v>732</v>
      </c>
      <c r="G133" s="7" t="s">
        <v>85</v>
      </c>
      <c r="H133" s="7" t="s">
        <v>1707</v>
      </c>
      <c r="I133" s="7" t="s">
        <v>1708</v>
      </c>
      <c r="J133" s="7"/>
      <c r="K133" s="7"/>
      <c r="L133" s="7" t="s">
        <v>88</v>
      </c>
      <c r="M133" s="7" t="s">
        <v>1709</v>
      </c>
      <c r="N133" s="7" t="s">
        <v>109</v>
      </c>
      <c r="O133" s="7" t="s">
        <v>1712</v>
      </c>
      <c r="P133" s="7"/>
      <c r="Q133" s="8" t="s">
        <v>301</v>
      </c>
      <c r="R133" s="7" t="s">
        <v>285</v>
      </c>
      <c r="S133" s="7"/>
    </row>
    <row r="134" customFormat="false" ht="23.85" hidden="false" customHeight="false" outlineLevel="0" collapsed="false">
      <c r="A134" s="7" t="s">
        <v>1716</v>
      </c>
      <c r="B134" s="7" t="s">
        <v>116</v>
      </c>
      <c r="C134" s="7" t="s">
        <v>985</v>
      </c>
      <c r="D134" s="7" t="s">
        <v>98</v>
      </c>
      <c r="E134" s="7" t="s">
        <v>1717</v>
      </c>
      <c r="F134" s="7" t="s">
        <v>1718</v>
      </c>
      <c r="G134" s="7" t="s">
        <v>85</v>
      </c>
      <c r="H134" s="7" t="s">
        <v>105</v>
      </c>
      <c r="I134" s="7" t="s">
        <v>87</v>
      </c>
      <c r="J134" s="7"/>
      <c r="K134" s="7"/>
      <c r="L134" s="7" t="s">
        <v>106</v>
      </c>
      <c r="M134" s="7" t="s">
        <v>988</v>
      </c>
      <c r="N134" s="7" t="s">
        <v>92</v>
      </c>
      <c r="O134" s="7"/>
      <c r="P134" s="7"/>
      <c r="Q134" s="8" t="s">
        <v>1720</v>
      </c>
      <c r="R134" s="7" t="s">
        <v>1721</v>
      </c>
      <c r="S134" s="7"/>
    </row>
    <row r="135" customFormat="false" ht="23.85" hidden="false" customHeight="false" outlineLevel="0" collapsed="false">
      <c r="A135" s="7" t="s">
        <v>1723</v>
      </c>
      <c r="B135" s="7" t="s">
        <v>116</v>
      </c>
      <c r="C135" s="7" t="s">
        <v>985</v>
      </c>
      <c r="D135" s="7" t="s">
        <v>98</v>
      </c>
      <c r="E135" s="7" t="s">
        <v>1724</v>
      </c>
      <c r="F135" s="7" t="s">
        <v>1718</v>
      </c>
      <c r="G135" s="7" t="s">
        <v>291</v>
      </c>
      <c r="H135" s="7" t="s">
        <v>1676</v>
      </c>
      <c r="I135" s="7" t="s">
        <v>1677</v>
      </c>
      <c r="J135" s="7"/>
      <c r="K135" s="7"/>
      <c r="L135" s="7" t="s">
        <v>1678</v>
      </c>
      <c r="M135" s="7" t="s">
        <v>988</v>
      </c>
      <c r="N135" s="7" t="s">
        <v>92</v>
      </c>
      <c r="O135" s="7"/>
      <c r="P135" s="7"/>
      <c r="Q135" s="8" t="s">
        <v>1680</v>
      </c>
      <c r="R135" s="7"/>
      <c r="S135" s="7"/>
    </row>
    <row r="136" customFormat="false" ht="23.85" hidden="false" customHeight="false" outlineLevel="0" collapsed="false">
      <c r="A136" s="7" t="s">
        <v>1726</v>
      </c>
      <c r="B136" s="7" t="s">
        <v>116</v>
      </c>
      <c r="C136" s="7" t="s">
        <v>985</v>
      </c>
      <c r="D136" s="7" t="s">
        <v>98</v>
      </c>
      <c r="E136" s="7" t="s">
        <v>1727</v>
      </c>
      <c r="F136" s="7" t="s">
        <v>1718</v>
      </c>
      <c r="G136" s="7" t="s">
        <v>85</v>
      </c>
      <c r="H136" s="7" t="s">
        <v>105</v>
      </c>
      <c r="I136" s="7" t="s">
        <v>87</v>
      </c>
      <c r="J136" s="7"/>
      <c r="K136" s="7"/>
      <c r="L136" s="7" t="s">
        <v>106</v>
      </c>
      <c r="M136" s="7" t="s">
        <v>988</v>
      </c>
      <c r="N136" s="7" t="s">
        <v>92</v>
      </c>
      <c r="O136" s="7"/>
      <c r="P136" s="7"/>
      <c r="Q136" s="8" t="s">
        <v>1730</v>
      </c>
      <c r="R136" s="7" t="s">
        <v>1731</v>
      </c>
      <c r="S136" s="7"/>
    </row>
    <row r="137" customFormat="false" ht="23.85" hidden="false" customHeight="false" outlineLevel="0" collapsed="false">
      <c r="A137" s="7" t="s">
        <v>1733</v>
      </c>
      <c r="B137" s="7" t="s">
        <v>116</v>
      </c>
      <c r="C137" s="7" t="s">
        <v>985</v>
      </c>
      <c r="D137" s="7" t="s">
        <v>98</v>
      </c>
      <c r="E137" s="7" t="s">
        <v>1734</v>
      </c>
      <c r="F137" s="7" t="s">
        <v>1718</v>
      </c>
      <c r="G137" s="7" t="s">
        <v>85</v>
      </c>
      <c r="H137" s="7" t="s">
        <v>105</v>
      </c>
      <c r="I137" s="7" t="s">
        <v>87</v>
      </c>
      <c r="J137" s="7"/>
      <c r="K137" s="7"/>
      <c r="L137" s="7" t="s">
        <v>106</v>
      </c>
      <c r="M137" s="7" t="s">
        <v>988</v>
      </c>
      <c r="N137" s="7" t="s">
        <v>92</v>
      </c>
      <c r="O137" s="7"/>
      <c r="P137" s="7"/>
      <c r="Q137" s="8" t="s">
        <v>1737</v>
      </c>
      <c r="R137" s="7" t="s">
        <v>1738</v>
      </c>
      <c r="S137" s="7"/>
    </row>
    <row r="138" customFormat="false" ht="23.85" hidden="false" customHeight="false" outlineLevel="0" collapsed="false">
      <c r="A138" s="7" t="s">
        <v>1740</v>
      </c>
      <c r="B138" s="7" t="s">
        <v>116</v>
      </c>
      <c r="C138" s="7" t="s">
        <v>985</v>
      </c>
      <c r="D138" s="7" t="s">
        <v>78</v>
      </c>
      <c r="E138" s="7" t="s">
        <v>1741</v>
      </c>
      <c r="F138" s="7" t="s">
        <v>1742</v>
      </c>
      <c r="G138" s="7" t="s">
        <v>85</v>
      </c>
      <c r="H138" s="7" t="s">
        <v>1743</v>
      </c>
      <c r="I138" s="7" t="s">
        <v>260</v>
      </c>
      <c r="J138" s="7"/>
      <c r="K138" s="7"/>
      <c r="L138" s="7" t="s">
        <v>88</v>
      </c>
      <c r="M138" s="7" t="s">
        <v>988</v>
      </c>
      <c r="N138" s="7" t="s">
        <v>109</v>
      </c>
      <c r="O138" s="7" t="s">
        <v>266</v>
      </c>
      <c r="P138" s="7" t="s">
        <v>1746</v>
      </c>
      <c r="Q138" s="8" t="s">
        <v>269</v>
      </c>
      <c r="R138" s="7"/>
      <c r="S138" s="7"/>
    </row>
    <row r="139" customFormat="false" ht="23.85" hidden="false" customHeight="false" outlineLevel="0" collapsed="false">
      <c r="A139" s="7" t="s">
        <v>1747</v>
      </c>
      <c r="B139" s="7" t="s">
        <v>116</v>
      </c>
      <c r="C139" s="7" t="s">
        <v>985</v>
      </c>
      <c r="D139" s="7" t="s">
        <v>78</v>
      </c>
      <c r="E139" s="7" t="s">
        <v>1748</v>
      </c>
      <c r="F139" s="7" t="s">
        <v>1749</v>
      </c>
      <c r="G139" s="7" t="s">
        <v>85</v>
      </c>
      <c r="H139" s="7" t="s">
        <v>1750</v>
      </c>
      <c r="I139" s="7" t="s">
        <v>1751</v>
      </c>
      <c r="J139" s="7"/>
      <c r="K139" s="7"/>
      <c r="L139" s="7" t="s">
        <v>1752</v>
      </c>
      <c r="M139" s="7" t="s">
        <v>988</v>
      </c>
      <c r="N139" s="7" t="s">
        <v>109</v>
      </c>
      <c r="O139" s="7" t="s">
        <v>1755</v>
      </c>
      <c r="P139" s="7" t="s">
        <v>1757</v>
      </c>
      <c r="Q139" s="8" t="s">
        <v>1758</v>
      </c>
      <c r="R139" s="7" t="s">
        <v>193</v>
      </c>
      <c r="S139" s="7"/>
    </row>
    <row r="140" customFormat="false" ht="15" hidden="false" customHeight="false" outlineLevel="0" collapsed="false">
      <c r="A140" s="7" t="s">
        <v>1760</v>
      </c>
      <c r="B140" s="7" t="s">
        <v>76</v>
      </c>
      <c r="C140" s="7" t="s">
        <v>985</v>
      </c>
      <c r="D140" s="7" t="s">
        <v>78</v>
      </c>
      <c r="E140" s="7" t="s">
        <v>1761</v>
      </c>
      <c r="F140" s="7" t="s">
        <v>1763</v>
      </c>
      <c r="G140" s="7" t="s">
        <v>85</v>
      </c>
      <c r="H140" s="7" t="s">
        <v>1765</v>
      </c>
      <c r="I140" s="7" t="s">
        <v>1766</v>
      </c>
      <c r="J140" s="7" t="s">
        <v>1767</v>
      </c>
      <c r="K140" s="7"/>
      <c r="L140" s="7" t="s">
        <v>1768</v>
      </c>
      <c r="M140" s="7" t="s">
        <v>1769</v>
      </c>
      <c r="N140" s="7" t="s">
        <v>109</v>
      </c>
      <c r="O140" s="7" t="s">
        <v>1772</v>
      </c>
      <c r="P140" s="7" t="s">
        <v>1775</v>
      </c>
      <c r="Q140" s="8" t="s">
        <v>1776</v>
      </c>
      <c r="R140" s="7"/>
      <c r="S140" s="7"/>
    </row>
    <row r="141" customFormat="false" ht="23.85" hidden="false" customHeight="false" outlineLevel="0" collapsed="false">
      <c r="A141" s="7" t="s">
        <v>1777</v>
      </c>
      <c r="B141" s="7" t="s">
        <v>116</v>
      </c>
      <c r="C141" s="7" t="s">
        <v>985</v>
      </c>
      <c r="D141" s="7" t="s">
        <v>98</v>
      </c>
      <c r="E141" s="7" t="s">
        <v>1778</v>
      </c>
      <c r="F141" s="7" t="s">
        <v>1763</v>
      </c>
      <c r="G141" s="7" t="s">
        <v>85</v>
      </c>
      <c r="H141" s="7" t="s">
        <v>105</v>
      </c>
      <c r="I141" s="7" t="s">
        <v>87</v>
      </c>
      <c r="J141" s="7"/>
      <c r="K141" s="7"/>
      <c r="L141" s="7" t="s">
        <v>106</v>
      </c>
      <c r="M141" s="7" t="s">
        <v>988</v>
      </c>
      <c r="N141" s="7" t="s">
        <v>109</v>
      </c>
      <c r="O141" s="7" t="s">
        <v>1781</v>
      </c>
      <c r="P141" s="7"/>
      <c r="Q141" s="8" t="s">
        <v>1782</v>
      </c>
      <c r="R141" s="7"/>
      <c r="S141" s="7"/>
    </row>
    <row r="142" customFormat="false" ht="23.85" hidden="false" customHeight="false" outlineLevel="0" collapsed="false">
      <c r="A142" s="7" t="s">
        <v>1784</v>
      </c>
      <c r="B142" s="7" t="s">
        <v>116</v>
      </c>
      <c r="C142" s="7" t="s">
        <v>985</v>
      </c>
      <c r="D142" s="7" t="s">
        <v>78</v>
      </c>
      <c r="E142" s="7" t="s">
        <v>1785</v>
      </c>
      <c r="F142" s="7" t="s">
        <v>1763</v>
      </c>
      <c r="G142" s="7" t="s">
        <v>85</v>
      </c>
      <c r="H142" s="7" t="s">
        <v>105</v>
      </c>
      <c r="I142" s="7" t="s">
        <v>87</v>
      </c>
      <c r="J142" s="7"/>
      <c r="K142" s="7"/>
      <c r="L142" s="7" t="s">
        <v>88</v>
      </c>
      <c r="M142" s="7" t="s">
        <v>988</v>
      </c>
      <c r="N142" s="7" t="s">
        <v>109</v>
      </c>
      <c r="O142" s="7" t="s">
        <v>1789</v>
      </c>
      <c r="P142" s="7"/>
      <c r="Q142" s="8" t="s">
        <v>1791</v>
      </c>
      <c r="R142" s="7"/>
      <c r="S142" s="7"/>
    </row>
    <row r="143" customFormat="false" ht="79.85" hidden="false" customHeight="false" outlineLevel="0" collapsed="false">
      <c r="A143" s="7" t="s">
        <v>1827</v>
      </c>
      <c r="B143" s="7" t="s">
        <v>76</v>
      </c>
      <c r="C143" s="7" t="s">
        <v>985</v>
      </c>
      <c r="D143" s="7" t="s">
        <v>78</v>
      </c>
      <c r="E143" s="7" t="s">
        <v>1828</v>
      </c>
      <c r="F143" s="7" t="s">
        <v>1829</v>
      </c>
      <c r="G143" s="7" t="s">
        <v>85</v>
      </c>
      <c r="H143" s="7" t="s">
        <v>105</v>
      </c>
      <c r="I143" s="7" t="s">
        <v>87</v>
      </c>
      <c r="J143" s="7" t="s">
        <v>1831</v>
      </c>
      <c r="K143" s="7"/>
      <c r="L143" s="7" t="s">
        <v>88</v>
      </c>
      <c r="M143" s="7" t="s">
        <v>988</v>
      </c>
      <c r="N143" s="7" t="s">
        <v>109</v>
      </c>
      <c r="O143" s="7" t="s">
        <v>1834</v>
      </c>
      <c r="P143" s="7"/>
      <c r="Q143" s="8" t="s">
        <v>1837</v>
      </c>
      <c r="R143" s="7" t="s">
        <v>1838</v>
      </c>
      <c r="S143" s="7" t="s">
        <v>1839</v>
      </c>
    </row>
    <row r="144" customFormat="false" ht="23.85" hidden="false" customHeight="false" outlineLevel="0" collapsed="false">
      <c r="A144" s="7" t="s">
        <v>1841</v>
      </c>
      <c r="B144" s="7" t="s">
        <v>116</v>
      </c>
      <c r="C144" s="7" t="s">
        <v>985</v>
      </c>
      <c r="D144" s="7" t="s">
        <v>98</v>
      </c>
      <c r="E144" s="7" t="s">
        <v>1842</v>
      </c>
      <c r="F144" s="7" t="s">
        <v>1829</v>
      </c>
      <c r="G144" s="7" t="s">
        <v>85</v>
      </c>
      <c r="H144" s="7" t="s">
        <v>105</v>
      </c>
      <c r="I144" s="7" t="s">
        <v>87</v>
      </c>
      <c r="J144" s="7"/>
      <c r="K144" s="7"/>
      <c r="L144" s="7" t="s">
        <v>106</v>
      </c>
      <c r="M144" s="7" t="s">
        <v>988</v>
      </c>
      <c r="N144" s="7" t="s">
        <v>109</v>
      </c>
      <c r="O144" s="7" t="s">
        <v>1845</v>
      </c>
      <c r="P144" s="7"/>
      <c r="Q144" s="8" t="s">
        <v>1846</v>
      </c>
      <c r="R144" s="7"/>
      <c r="S144" s="7"/>
    </row>
    <row r="145" customFormat="false" ht="35.05" hidden="false" customHeight="false" outlineLevel="0" collapsed="false">
      <c r="A145" s="7" t="s">
        <v>1847</v>
      </c>
      <c r="B145" s="7" t="s">
        <v>116</v>
      </c>
      <c r="C145" s="7" t="s">
        <v>985</v>
      </c>
      <c r="D145" s="7" t="s">
        <v>78</v>
      </c>
      <c r="E145" s="7" t="s">
        <v>1848</v>
      </c>
      <c r="F145" s="7" t="s">
        <v>1829</v>
      </c>
      <c r="G145" s="7" t="s">
        <v>85</v>
      </c>
      <c r="H145" s="7" t="s">
        <v>1850</v>
      </c>
      <c r="I145" s="7" t="s">
        <v>87</v>
      </c>
      <c r="J145" s="7"/>
      <c r="K145" s="7" t="s">
        <v>1851</v>
      </c>
      <c r="L145" s="7" t="s">
        <v>1852</v>
      </c>
      <c r="M145" s="7" t="s">
        <v>988</v>
      </c>
      <c r="N145" s="7" t="s">
        <v>109</v>
      </c>
      <c r="O145" s="7" t="s">
        <v>1855</v>
      </c>
      <c r="P145" s="7"/>
      <c r="Q145" s="8" t="s">
        <v>1856</v>
      </c>
      <c r="R145" s="7" t="s">
        <v>1858</v>
      </c>
      <c r="S145" s="7"/>
    </row>
    <row r="146" customFormat="false" ht="23.85" hidden="false" customHeight="false" outlineLevel="0" collapsed="false">
      <c r="A146" s="7" t="s">
        <v>1905</v>
      </c>
      <c r="B146" s="7" t="s">
        <v>116</v>
      </c>
      <c r="C146" s="7" t="s">
        <v>985</v>
      </c>
      <c r="D146" s="7" t="s">
        <v>98</v>
      </c>
      <c r="E146" s="7" t="s">
        <v>1906</v>
      </c>
      <c r="F146" s="7" t="s">
        <v>319</v>
      </c>
      <c r="G146" s="7" t="s">
        <v>85</v>
      </c>
      <c r="H146" s="7" t="s">
        <v>105</v>
      </c>
      <c r="I146" s="7" t="s">
        <v>87</v>
      </c>
      <c r="J146" s="7"/>
      <c r="K146" s="7"/>
      <c r="L146" s="7" t="s">
        <v>106</v>
      </c>
      <c r="M146" s="7" t="s">
        <v>988</v>
      </c>
      <c r="N146" s="7" t="s">
        <v>109</v>
      </c>
      <c r="O146" s="7" t="s">
        <v>1909</v>
      </c>
      <c r="P146" s="7"/>
      <c r="Q146" s="8" t="s">
        <v>1910</v>
      </c>
      <c r="R146" s="7"/>
      <c r="S146" s="7"/>
    </row>
    <row r="147" customFormat="false" ht="23.85" hidden="false" customHeight="false" outlineLevel="0" collapsed="false">
      <c r="A147" s="7" t="s">
        <v>1911</v>
      </c>
      <c r="B147" s="7" t="s">
        <v>116</v>
      </c>
      <c r="C147" s="7" t="s">
        <v>985</v>
      </c>
      <c r="D147" s="7" t="s">
        <v>98</v>
      </c>
      <c r="E147" s="7" t="s">
        <v>1912</v>
      </c>
      <c r="F147" s="7" t="s">
        <v>319</v>
      </c>
      <c r="G147" s="7" t="s">
        <v>85</v>
      </c>
      <c r="H147" s="7" t="s">
        <v>105</v>
      </c>
      <c r="I147" s="7" t="s">
        <v>87</v>
      </c>
      <c r="J147" s="7"/>
      <c r="K147" s="7"/>
      <c r="L147" s="7" t="s">
        <v>106</v>
      </c>
      <c r="M147" s="7" t="s">
        <v>988</v>
      </c>
      <c r="N147" s="7" t="s">
        <v>109</v>
      </c>
      <c r="O147" s="7" t="s">
        <v>1915</v>
      </c>
      <c r="P147" s="7"/>
      <c r="Q147" s="8" t="s">
        <v>1916</v>
      </c>
      <c r="R147" s="7" t="s">
        <v>1917</v>
      </c>
      <c r="S147" s="7"/>
    </row>
    <row r="148" customFormat="false" ht="23.85" hidden="false" customHeight="false" outlineLevel="0" collapsed="false">
      <c r="A148" s="7" t="s">
        <v>1919</v>
      </c>
      <c r="B148" s="7" t="s">
        <v>116</v>
      </c>
      <c r="C148" s="7" t="s">
        <v>985</v>
      </c>
      <c r="D148" s="7" t="s">
        <v>78</v>
      </c>
      <c r="E148" s="7" t="s">
        <v>1920</v>
      </c>
      <c r="F148" s="7" t="s">
        <v>319</v>
      </c>
      <c r="G148" s="7" t="s">
        <v>85</v>
      </c>
      <c r="H148" s="7" t="s">
        <v>1922</v>
      </c>
      <c r="I148" s="7" t="s">
        <v>87</v>
      </c>
      <c r="J148" s="7" t="s">
        <v>1923</v>
      </c>
      <c r="K148" s="7"/>
      <c r="L148" s="7" t="s">
        <v>88</v>
      </c>
      <c r="M148" s="7" t="s">
        <v>988</v>
      </c>
      <c r="N148" s="7" t="s">
        <v>109</v>
      </c>
      <c r="O148" s="7" t="s">
        <v>1925</v>
      </c>
      <c r="P148" s="7"/>
      <c r="Q148" s="8" t="s">
        <v>1926</v>
      </c>
      <c r="R148" s="7" t="s">
        <v>1927</v>
      </c>
      <c r="S148" s="7"/>
    </row>
    <row r="149" customFormat="false" ht="46.25" hidden="false" customHeight="false" outlineLevel="0" collapsed="false">
      <c r="A149" s="7" t="s">
        <v>1929</v>
      </c>
      <c r="B149" s="7" t="s">
        <v>116</v>
      </c>
      <c r="C149" s="7" t="s">
        <v>985</v>
      </c>
      <c r="D149" s="7" t="s">
        <v>78</v>
      </c>
      <c r="E149" s="7" t="s">
        <v>1930</v>
      </c>
      <c r="F149" s="7" t="s">
        <v>319</v>
      </c>
      <c r="G149" s="7" t="s">
        <v>85</v>
      </c>
      <c r="H149" s="7" t="s">
        <v>105</v>
      </c>
      <c r="I149" s="7" t="s">
        <v>87</v>
      </c>
      <c r="J149" s="7"/>
      <c r="K149" s="7"/>
      <c r="L149" s="7" t="s">
        <v>88</v>
      </c>
      <c r="M149" s="7" t="s">
        <v>1932</v>
      </c>
      <c r="N149" s="7" t="s">
        <v>109</v>
      </c>
      <c r="O149" s="7" t="s">
        <v>1935</v>
      </c>
      <c r="P149" s="7"/>
      <c r="Q149" s="8" t="s">
        <v>1936</v>
      </c>
      <c r="R149" s="7" t="s">
        <v>1938</v>
      </c>
      <c r="S149" s="7"/>
    </row>
    <row r="150" customFormat="false" ht="23.85" hidden="false" customHeight="false" outlineLevel="0" collapsed="false">
      <c r="A150" s="7" t="s">
        <v>1968</v>
      </c>
      <c r="B150" s="7" t="s">
        <v>116</v>
      </c>
      <c r="C150" s="7" t="s">
        <v>985</v>
      </c>
      <c r="D150" s="7" t="s">
        <v>78</v>
      </c>
      <c r="E150" s="7" t="s">
        <v>1969</v>
      </c>
      <c r="F150" s="7" t="s">
        <v>1970</v>
      </c>
      <c r="G150" s="7" t="s">
        <v>85</v>
      </c>
      <c r="H150" s="7" t="s">
        <v>105</v>
      </c>
      <c r="I150" s="7" t="s">
        <v>87</v>
      </c>
      <c r="J150" s="7"/>
      <c r="K150" s="7"/>
      <c r="L150" s="7" t="s">
        <v>88</v>
      </c>
      <c r="M150" s="7" t="s">
        <v>988</v>
      </c>
      <c r="N150" s="7" t="s">
        <v>92</v>
      </c>
      <c r="O150" s="7"/>
      <c r="P150" s="7"/>
      <c r="Q150" s="8" t="s">
        <v>1974</v>
      </c>
      <c r="R150" s="7" t="s">
        <v>1975</v>
      </c>
      <c r="S150" s="7"/>
    </row>
    <row r="151" customFormat="false" ht="23.85" hidden="false" customHeight="false" outlineLevel="0" collapsed="false">
      <c r="A151" s="7" t="s">
        <v>1982</v>
      </c>
      <c r="B151" s="7" t="s">
        <v>116</v>
      </c>
      <c r="C151" s="7" t="s">
        <v>985</v>
      </c>
      <c r="D151" s="7" t="s">
        <v>78</v>
      </c>
      <c r="E151" s="7" t="s">
        <v>1983</v>
      </c>
      <c r="F151" s="7" t="s">
        <v>1984</v>
      </c>
      <c r="G151" s="7" t="s">
        <v>85</v>
      </c>
      <c r="H151" s="7" t="s">
        <v>1986</v>
      </c>
      <c r="I151" s="7" t="s">
        <v>87</v>
      </c>
      <c r="J151" s="7" t="s">
        <v>1987</v>
      </c>
      <c r="K151" s="7"/>
      <c r="L151" s="7" t="s">
        <v>88</v>
      </c>
      <c r="M151" s="7" t="s">
        <v>988</v>
      </c>
      <c r="N151" s="7" t="s">
        <v>109</v>
      </c>
      <c r="O151" s="7" t="s">
        <v>1990</v>
      </c>
      <c r="P151" s="7"/>
      <c r="Q151" s="8" t="s">
        <v>1992</v>
      </c>
      <c r="R151" s="7" t="s">
        <v>1993</v>
      </c>
      <c r="S151" s="7" t="s">
        <v>1994</v>
      </c>
    </row>
    <row r="152" customFormat="false" ht="23.85" hidden="false" customHeight="false" outlineLevel="0" collapsed="false">
      <c r="A152" s="7" t="s">
        <v>2001</v>
      </c>
      <c r="B152" s="7" t="s">
        <v>116</v>
      </c>
      <c r="C152" s="7" t="s">
        <v>985</v>
      </c>
      <c r="D152" s="7" t="s">
        <v>98</v>
      </c>
      <c r="E152" s="7" t="s">
        <v>2002</v>
      </c>
      <c r="F152" s="7" t="s">
        <v>103</v>
      </c>
      <c r="G152" s="7" t="s">
        <v>85</v>
      </c>
      <c r="H152" s="7" t="s">
        <v>105</v>
      </c>
      <c r="I152" s="7" t="s">
        <v>87</v>
      </c>
      <c r="J152" s="7" t="s">
        <v>2004</v>
      </c>
      <c r="K152" s="7"/>
      <c r="L152" s="7" t="s">
        <v>106</v>
      </c>
      <c r="M152" s="7" t="s">
        <v>1276</v>
      </c>
      <c r="N152" s="7" t="s">
        <v>109</v>
      </c>
      <c r="O152" s="7" t="s">
        <v>2006</v>
      </c>
      <c r="P152" s="7"/>
      <c r="Q152" s="8" t="s">
        <v>2007</v>
      </c>
      <c r="R152" s="7"/>
      <c r="S152" s="7"/>
    </row>
    <row r="153" customFormat="false" ht="23.85" hidden="false" customHeight="false" outlineLevel="0" collapsed="false">
      <c r="A153" s="7" t="s">
        <v>2008</v>
      </c>
      <c r="B153" s="7" t="s">
        <v>116</v>
      </c>
      <c r="C153" s="7" t="s">
        <v>985</v>
      </c>
      <c r="D153" s="7" t="s">
        <v>98</v>
      </c>
      <c r="E153" s="7" t="s">
        <v>2009</v>
      </c>
      <c r="F153" s="7" t="s">
        <v>103</v>
      </c>
      <c r="G153" s="7" t="s">
        <v>85</v>
      </c>
      <c r="H153" s="7" t="s">
        <v>2011</v>
      </c>
      <c r="I153" s="7" t="s">
        <v>87</v>
      </c>
      <c r="J153" s="7"/>
      <c r="K153" s="7"/>
      <c r="L153" s="7" t="s">
        <v>106</v>
      </c>
      <c r="M153" s="7" t="s">
        <v>2012</v>
      </c>
      <c r="N153" s="7" t="s">
        <v>92</v>
      </c>
      <c r="O153" s="7"/>
      <c r="P153" s="7"/>
      <c r="Q153" s="8" t="s">
        <v>2015</v>
      </c>
      <c r="R153" s="7" t="s">
        <v>1109</v>
      </c>
      <c r="S153" s="7"/>
    </row>
    <row r="154" customFormat="false" ht="23.85" hidden="false" customHeight="false" outlineLevel="0" collapsed="false">
      <c r="A154" s="7" t="s">
        <v>2017</v>
      </c>
      <c r="B154" s="7" t="s">
        <v>116</v>
      </c>
      <c r="C154" s="7" t="s">
        <v>985</v>
      </c>
      <c r="D154" s="7" t="s">
        <v>78</v>
      </c>
      <c r="E154" s="7" t="s">
        <v>2018</v>
      </c>
      <c r="F154" s="7" t="s">
        <v>103</v>
      </c>
      <c r="G154" s="7" t="s">
        <v>85</v>
      </c>
      <c r="H154" s="7" t="s">
        <v>2020</v>
      </c>
      <c r="I154" s="7" t="s">
        <v>87</v>
      </c>
      <c r="J154" s="7"/>
      <c r="K154" s="7"/>
      <c r="L154" s="7" t="s">
        <v>88</v>
      </c>
      <c r="M154" s="7" t="s">
        <v>988</v>
      </c>
      <c r="N154" s="7" t="s">
        <v>109</v>
      </c>
      <c r="O154" s="7" t="s">
        <v>2023</v>
      </c>
      <c r="P154" s="7"/>
      <c r="Q154" s="8" t="s">
        <v>2026</v>
      </c>
      <c r="R154" s="7" t="s">
        <v>2027</v>
      </c>
      <c r="S154" s="7"/>
    </row>
    <row r="155" customFormat="false" ht="23.85" hidden="false" customHeight="false" outlineLevel="0" collapsed="false">
      <c r="A155" s="7" t="s">
        <v>2029</v>
      </c>
      <c r="B155" s="7" t="s">
        <v>116</v>
      </c>
      <c r="C155" s="7" t="s">
        <v>985</v>
      </c>
      <c r="D155" s="7" t="s">
        <v>78</v>
      </c>
      <c r="E155" s="7" t="s">
        <v>2030</v>
      </c>
      <c r="F155" s="7" t="s">
        <v>103</v>
      </c>
      <c r="G155" s="7" t="s">
        <v>85</v>
      </c>
      <c r="H155" s="7" t="s">
        <v>2032</v>
      </c>
      <c r="I155" s="7" t="s">
        <v>87</v>
      </c>
      <c r="J155" s="7" t="s">
        <v>2033</v>
      </c>
      <c r="K155" s="7"/>
      <c r="L155" s="7" t="s">
        <v>88</v>
      </c>
      <c r="M155" s="7" t="s">
        <v>2034</v>
      </c>
      <c r="N155" s="7" t="s">
        <v>92</v>
      </c>
      <c r="O155" s="7"/>
      <c r="P155" s="7"/>
      <c r="Q155" s="8" t="s">
        <v>2037</v>
      </c>
      <c r="R155" s="7" t="s">
        <v>2038</v>
      </c>
      <c r="S155" s="7"/>
    </row>
    <row r="156" customFormat="false" ht="23.85" hidden="false" customHeight="false" outlineLevel="0" collapsed="false">
      <c r="A156" s="7" t="s">
        <v>2040</v>
      </c>
      <c r="B156" s="7" t="s">
        <v>116</v>
      </c>
      <c r="C156" s="7" t="s">
        <v>985</v>
      </c>
      <c r="D156" s="7" t="s">
        <v>78</v>
      </c>
      <c r="E156" s="7" t="s">
        <v>2041</v>
      </c>
      <c r="F156" s="7" t="s">
        <v>103</v>
      </c>
      <c r="G156" s="7" t="s">
        <v>85</v>
      </c>
      <c r="H156" s="7" t="s">
        <v>2043</v>
      </c>
      <c r="I156" s="7" t="s">
        <v>87</v>
      </c>
      <c r="J156" s="7"/>
      <c r="K156" s="7"/>
      <c r="L156" s="7" t="s">
        <v>88</v>
      </c>
      <c r="M156" s="7" t="s">
        <v>988</v>
      </c>
      <c r="N156" s="7" t="s">
        <v>109</v>
      </c>
      <c r="O156" s="7" t="s">
        <v>2046</v>
      </c>
      <c r="P156" s="7"/>
      <c r="Q156" s="8" t="s">
        <v>2026</v>
      </c>
      <c r="R156" s="7"/>
      <c r="S156" s="7"/>
    </row>
    <row r="157" customFormat="false" ht="23.85" hidden="false" customHeight="false" outlineLevel="0" collapsed="false">
      <c r="A157" s="7" t="s">
        <v>2049</v>
      </c>
      <c r="B157" s="7" t="s">
        <v>116</v>
      </c>
      <c r="C157" s="7" t="s">
        <v>985</v>
      </c>
      <c r="D157" s="7" t="s">
        <v>78</v>
      </c>
      <c r="E157" s="7" t="s">
        <v>2050</v>
      </c>
      <c r="F157" s="7" t="s">
        <v>103</v>
      </c>
      <c r="G157" s="7" t="s">
        <v>85</v>
      </c>
      <c r="H157" s="7" t="s">
        <v>105</v>
      </c>
      <c r="I157" s="7" t="s">
        <v>87</v>
      </c>
      <c r="J157" s="7" t="s">
        <v>2052</v>
      </c>
      <c r="K157" s="7"/>
      <c r="L157" s="7" t="s">
        <v>88</v>
      </c>
      <c r="M157" s="7" t="s">
        <v>988</v>
      </c>
      <c r="N157" s="7" t="s">
        <v>92</v>
      </c>
      <c r="O157" s="7"/>
      <c r="P157" s="7"/>
      <c r="Q157" s="8" t="s">
        <v>2054</v>
      </c>
      <c r="R157" s="7" t="s">
        <v>2056</v>
      </c>
      <c r="S157" s="7"/>
    </row>
    <row r="158" customFormat="false" ht="23.85" hidden="false" customHeight="false" outlineLevel="0" collapsed="false">
      <c r="A158" s="7" t="s">
        <v>2086</v>
      </c>
      <c r="B158" s="7" t="s">
        <v>116</v>
      </c>
      <c r="C158" s="7" t="s">
        <v>985</v>
      </c>
      <c r="D158" s="7" t="s">
        <v>98</v>
      </c>
      <c r="E158" s="7" t="s">
        <v>2087</v>
      </c>
      <c r="F158" s="7" t="s">
        <v>2088</v>
      </c>
      <c r="G158" s="7" t="s">
        <v>85</v>
      </c>
      <c r="H158" s="7" t="s">
        <v>105</v>
      </c>
      <c r="I158" s="7" t="s">
        <v>87</v>
      </c>
      <c r="J158" s="7"/>
      <c r="K158" s="7"/>
      <c r="L158" s="7" t="s">
        <v>106</v>
      </c>
      <c r="M158" s="7" t="s">
        <v>1276</v>
      </c>
      <c r="N158" s="7" t="s">
        <v>92</v>
      </c>
      <c r="O158" s="7"/>
      <c r="P158" s="7" t="s">
        <v>2092</v>
      </c>
      <c r="Q158" s="8" t="s">
        <v>2093</v>
      </c>
      <c r="R158" s="7" t="s">
        <v>1570</v>
      </c>
      <c r="S158" s="7"/>
    </row>
    <row r="159" customFormat="false" ht="23.85" hidden="false" customHeight="false" outlineLevel="0" collapsed="false">
      <c r="A159" s="7" t="s">
        <v>2104</v>
      </c>
      <c r="B159" s="7" t="s">
        <v>116</v>
      </c>
      <c r="C159" s="7" t="s">
        <v>985</v>
      </c>
      <c r="D159" s="7" t="s">
        <v>78</v>
      </c>
      <c r="E159" s="7" t="s">
        <v>2105</v>
      </c>
      <c r="F159" s="7" t="s">
        <v>2106</v>
      </c>
      <c r="G159" s="7" t="s">
        <v>85</v>
      </c>
      <c r="H159" s="7" t="s">
        <v>105</v>
      </c>
      <c r="I159" s="7" t="s">
        <v>87</v>
      </c>
      <c r="J159" s="7"/>
      <c r="K159" s="7"/>
      <c r="L159" s="7" t="s">
        <v>88</v>
      </c>
      <c r="M159" s="7" t="s">
        <v>988</v>
      </c>
      <c r="N159" s="7" t="s">
        <v>92</v>
      </c>
      <c r="O159" s="7"/>
      <c r="P159" s="7"/>
      <c r="Q159" s="8" t="s">
        <v>2108</v>
      </c>
      <c r="R159" s="7" t="s">
        <v>2109</v>
      </c>
      <c r="S159" s="7" t="s">
        <v>2110</v>
      </c>
    </row>
    <row r="160" customFormat="false" ht="23.85" hidden="false" customHeight="false" outlineLevel="0" collapsed="false">
      <c r="A160" s="7" t="s">
        <v>2112</v>
      </c>
      <c r="B160" s="7" t="s">
        <v>116</v>
      </c>
      <c r="C160" s="7" t="s">
        <v>985</v>
      </c>
      <c r="D160" s="7" t="s">
        <v>78</v>
      </c>
      <c r="E160" s="7" t="s">
        <v>2113</v>
      </c>
      <c r="F160" s="7" t="s">
        <v>429</v>
      </c>
      <c r="G160" s="7" t="s">
        <v>85</v>
      </c>
      <c r="H160" s="7" t="s">
        <v>105</v>
      </c>
      <c r="I160" s="7" t="s">
        <v>87</v>
      </c>
      <c r="J160" s="7"/>
      <c r="K160" s="7"/>
      <c r="L160" s="7" t="s">
        <v>88</v>
      </c>
      <c r="M160" s="7" t="s">
        <v>1276</v>
      </c>
      <c r="N160" s="7" t="s">
        <v>109</v>
      </c>
      <c r="O160" s="7" t="s">
        <v>2116</v>
      </c>
      <c r="P160" s="7"/>
      <c r="Q160" s="8" t="s">
        <v>2117</v>
      </c>
      <c r="R160" s="7" t="s">
        <v>2119</v>
      </c>
      <c r="S160" s="7" t="s">
        <v>2120</v>
      </c>
    </row>
    <row r="161" customFormat="false" ht="23.85" hidden="false" customHeight="false" outlineLevel="0" collapsed="false">
      <c r="A161" s="7" t="s">
        <v>2122</v>
      </c>
      <c r="B161" s="7" t="s">
        <v>116</v>
      </c>
      <c r="C161" s="7" t="s">
        <v>985</v>
      </c>
      <c r="D161" s="7" t="s">
        <v>78</v>
      </c>
      <c r="E161" s="7" t="s">
        <v>2123</v>
      </c>
      <c r="F161" s="7" t="s">
        <v>429</v>
      </c>
      <c r="G161" s="7" t="s">
        <v>85</v>
      </c>
      <c r="H161" s="7" t="s">
        <v>105</v>
      </c>
      <c r="I161" s="7" t="s">
        <v>87</v>
      </c>
      <c r="J161" s="7"/>
      <c r="K161" s="7"/>
      <c r="L161" s="7" t="s">
        <v>88</v>
      </c>
      <c r="M161" s="7" t="s">
        <v>988</v>
      </c>
      <c r="N161" s="7" t="s">
        <v>109</v>
      </c>
      <c r="O161" s="7" t="s">
        <v>2126</v>
      </c>
      <c r="P161" s="7"/>
      <c r="Q161" s="8" t="s">
        <v>2127</v>
      </c>
      <c r="R161" s="7"/>
      <c r="S161" s="7"/>
    </row>
    <row r="162" customFormat="false" ht="46.25" hidden="false" customHeight="false" outlineLevel="0" collapsed="false">
      <c r="A162" s="7" t="s">
        <v>2129</v>
      </c>
      <c r="B162" s="7" t="s">
        <v>116</v>
      </c>
      <c r="C162" s="7" t="s">
        <v>985</v>
      </c>
      <c r="D162" s="7" t="s">
        <v>78</v>
      </c>
      <c r="E162" s="7" t="s">
        <v>2130</v>
      </c>
      <c r="F162" s="7" t="s">
        <v>2131</v>
      </c>
      <c r="G162" s="7" t="s">
        <v>85</v>
      </c>
      <c r="H162" s="7" t="s">
        <v>105</v>
      </c>
      <c r="I162" s="7" t="s">
        <v>87</v>
      </c>
      <c r="J162" s="7"/>
      <c r="K162" s="7"/>
      <c r="L162" s="7" t="s">
        <v>88</v>
      </c>
      <c r="M162" s="7" t="s">
        <v>988</v>
      </c>
      <c r="N162" s="7" t="s">
        <v>1014</v>
      </c>
      <c r="O162" s="7"/>
      <c r="P162" s="7"/>
      <c r="Q162" s="8" t="s">
        <v>2135</v>
      </c>
      <c r="R162" s="7" t="s">
        <v>2136</v>
      </c>
      <c r="S162" s="7"/>
    </row>
    <row r="163" customFormat="false" ht="35.05" hidden="false" customHeight="false" outlineLevel="0" collapsed="false">
      <c r="A163" s="7" t="s">
        <v>2138</v>
      </c>
      <c r="B163" s="7" t="s">
        <v>116</v>
      </c>
      <c r="C163" s="7" t="s">
        <v>985</v>
      </c>
      <c r="D163" s="7" t="s">
        <v>98</v>
      </c>
      <c r="E163" s="7" t="s">
        <v>2139</v>
      </c>
      <c r="F163" s="7" t="s">
        <v>2140</v>
      </c>
      <c r="G163" s="7" t="s">
        <v>85</v>
      </c>
      <c r="H163" s="7" t="s">
        <v>105</v>
      </c>
      <c r="I163" s="7" t="s">
        <v>87</v>
      </c>
      <c r="J163" s="7" t="s">
        <v>2142</v>
      </c>
      <c r="K163" s="7"/>
      <c r="L163" s="7" t="s">
        <v>106</v>
      </c>
      <c r="M163" s="7" t="s">
        <v>988</v>
      </c>
      <c r="N163" s="7" t="s">
        <v>92</v>
      </c>
      <c r="O163" s="7"/>
      <c r="P163" s="7"/>
      <c r="Q163" s="8" t="s">
        <v>2144</v>
      </c>
      <c r="R163" s="7" t="s">
        <v>2145</v>
      </c>
      <c r="S163" s="7"/>
    </row>
    <row r="164" customFormat="false" ht="23.85" hidden="false" customHeight="false" outlineLevel="0" collapsed="false">
      <c r="A164" s="7" t="s">
        <v>2147</v>
      </c>
      <c r="B164" s="7" t="s">
        <v>76</v>
      </c>
      <c r="C164" s="7" t="s">
        <v>985</v>
      </c>
      <c r="D164" s="7" t="s">
        <v>98</v>
      </c>
      <c r="E164" s="7" t="s">
        <v>2148</v>
      </c>
      <c r="F164" s="7" t="s">
        <v>2149</v>
      </c>
      <c r="G164" s="7" t="s">
        <v>291</v>
      </c>
      <c r="H164" s="7" t="s">
        <v>2151</v>
      </c>
      <c r="I164" s="7" t="s">
        <v>2152</v>
      </c>
      <c r="J164" s="7"/>
      <c r="K164" s="7" t="s">
        <v>2153</v>
      </c>
      <c r="L164" s="7" t="s">
        <v>2154</v>
      </c>
      <c r="M164" s="7" t="s">
        <v>2155</v>
      </c>
      <c r="N164" s="7" t="s">
        <v>189</v>
      </c>
      <c r="O164" s="7"/>
      <c r="P164" s="7" t="s">
        <v>2159</v>
      </c>
      <c r="Q164" s="8" t="s">
        <v>2158</v>
      </c>
      <c r="R164" s="7" t="s">
        <v>2160</v>
      </c>
      <c r="S164" s="7" t="s">
        <v>2161</v>
      </c>
    </row>
    <row r="165" customFormat="false" ht="68.65" hidden="false" customHeight="false" outlineLevel="0" collapsed="false">
      <c r="A165" s="7" t="s">
        <v>2163</v>
      </c>
      <c r="B165" s="7" t="s">
        <v>76</v>
      </c>
      <c r="C165" s="7" t="s">
        <v>985</v>
      </c>
      <c r="D165" s="7" t="s">
        <v>78</v>
      </c>
      <c r="E165" s="7" t="s">
        <v>2164</v>
      </c>
      <c r="F165" s="7" t="s">
        <v>460</v>
      </c>
      <c r="G165" s="7" t="s">
        <v>2166</v>
      </c>
      <c r="H165" s="7" t="s">
        <v>2167</v>
      </c>
      <c r="I165" s="7" t="s">
        <v>2168</v>
      </c>
      <c r="J165" s="7" t="s">
        <v>490</v>
      </c>
      <c r="K165" s="7" t="s">
        <v>2169</v>
      </c>
      <c r="L165" s="7" t="s">
        <v>2170</v>
      </c>
      <c r="M165" s="7" t="s">
        <v>2171</v>
      </c>
      <c r="N165" s="7" t="s">
        <v>109</v>
      </c>
      <c r="O165" s="7" t="s">
        <v>2174</v>
      </c>
      <c r="P165" s="7"/>
      <c r="Q165" s="8" t="s">
        <v>2176</v>
      </c>
      <c r="R165" s="7" t="s">
        <v>2177</v>
      </c>
      <c r="S165" s="7" t="s">
        <v>2178</v>
      </c>
    </row>
    <row r="166" customFormat="false" ht="23.85" hidden="false" customHeight="false" outlineLevel="0" collapsed="false">
      <c r="A166" s="7" t="s">
        <v>2180</v>
      </c>
      <c r="B166" s="7" t="s">
        <v>116</v>
      </c>
      <c r="C166" s="7" t="s">
        <v>985</v>
      </c>
      <c r="D166" s="7" t="s">
        <v>98</v>
      </c>
      <c r="E166" s="7" t="s">
        <v>2181</v>
      </c>
      <c r="F166" s="7" t="s">
        <v>460</v>
      </c>
      <c r="G166" s="7" t="s">
        <v>291</v>
      </c>
      <c r="H166" s="7" t="s">
        <v>2183</v>
      </c>
      <c r="I166" s="7" t="s">
        <v>2184</v>
      </c>
      <c r="J166" s="7"/>
      <c r="K166" s="7"/>
      <c r="L166" s="7" t="s">
        <v>2185</v>
      </c>
      <c r="M166" s="7" t="s">
        <v>988</v>
      </c>
      <c r="N166" s="7" t="s">
        <v>92</v>
      </c>
      <c r="O166" s="7"/>
      <c r="P166" s="7"/>
      <c r="Q166" s="8" t="s">
        <v>2188</v>
      </c>
      <c r="R166" s="7"/>
      <c r="S166" s="7"/>
    </row>
    <row r="167" customFormat="false" ht="23.85" hidden="false" customHeight="false" outlineLevel="0" collapsed="false">
      <c r="A167" s="7" t="s">
        <v>2190</v>
      </c>
      <c r="B167" s="7" t="s">
        <v>116</v>
      </c>
      <c r="C167" s="7" t="s">
        <v>985</v>
      </c>
      <c r="D167" s="7" t="s">
        <v>98</v>
      </c>
      <c r="E167" s="7" t="s">
        <v>2191</v>
      </c>
      <c r="F167" s="7" t="s">
        <v>460</v>
      </c>
      <c r="G167" s="7" t="s">
        <v>85</v>
      </c>
      <c r="H167" s="7" t="s">
        <v>105</v>
      </c>
      <c r="I167" s="7" t="s">
        <v>87</v>
      </c>
      <c r="J167" s="7"/>
      <c r="K167" s="7"/>
      <c r="L167" s="7" t="s">
        <v>106</v>
      </c>
      <c r="M167" s="7" t="s">
        <v>988</v>
      </c>
      <c r="N167" s="7" t="s">
        <v>109</v>
      </c>
      <c r="O167" s="7" t="s">
        <v>2195</v>
      </c>
      <c r="P167" s="7"/>
      <c r="Q167" s="8" t="s">
        <v>2196</v>
      </c>
      <c r="R167" s="7"/>
      <c r="S167" s="7"/>
    </row>
    <row r="168" customFormat="false" ht="23.85" hidden="false" customHeight="false" outlineLevel="0" collapsed="false">
      <c r="A168" s="7" t="s">
        <v>2199</v>
      </c>
      <c r="B168" s="7" t="s">
        <v>116</v>
      </c>
      <c r="C168" s="7" t="s">
        <v>985</v>
      </c>
      <c r="D168" s="7" t="s">
        <v>78</v>
      </c>
      <c r="E168" s="7" t="s">
        <v>2200</v>
      </c>
      <c r="F168" s="7" t="s">
        <v>460</v>
      </c>
      <c r="G168" s="7" t="s">
        <v>85</v>
      </c>
      <c r="H168" s="7" t="s">
        <v>105</v>
      </c>
      <c r="I168" s="7" t="s">
        <v>87</v>
      </c>
      <c r="J168" s="7"/>
      <c r="K168" s="7"/>
      <c r="L168" s="7" t="s">
        <v>88</v>
      </c>
      <c r="M168" s="7" t="s">
        <v>988</v>
      </c>
      <c r="N168" s="7" t="s">
        <v>109</v>
      </c>
      <c r="O168" s="7" t="s">
        <v>2204</v>
      </c>
      <c r="P168" s="7"/>
      <c r="Q168" s="8" t="s">
        <v>2205</v>
      </c>
      <c r="R168" s="7" t="s">
        <v>626</v>
      </c>
      <c r="S168" s="7"/>
    </row>
    <row r="169" customFormat="false" ht="35.05" hidden="false" customHeight="false" outlineLevel="0" collapsed="false">
      <c r="A169" s="7" t="s">
        <v>2207</v>
      </c>
      <c r="B169" s="7" t="s">
        <v>76</v>
      </c>
      <c r="C169" s="7" t="s">
        <v>985</v>
      </c>
      <c r="D169" s="7" t="s">
        <v>78</v>
      </c>
      <c r="E169" s="7" t="s">
        <v>2208</v>
      </c>
      <c r="F169" s="7" t="s">
        <v>2209</v>
      </c>
      <c r="G169" s="7" t="s">
        <v>85</v>
      </c>
      <c r="H169" s="7" t="s">
        <v>2211</v>
      </c>
      <c r="I169" s="7" t="s">
        <v>87</v>
      </c>
      <c r="J169" s="7"/>
      <c r="K169" s="7"/>
      <c r="L169" s="7" t="s">
        <v>88</v>
      </c>
      <c r="M169" s="7" t="s">
        <v>2212</v>
      </c>
      <c r="N169" s="7" t="s">
        <v>92</v>
      </c>
      <c r="O169" s="7"/>
      <c r="P169" s="7"/>
      <c r="Q169" s="8" t="s">
        <v>2214</v>
      </c>
      <c r="R169" s="7" t="s">
        <v>2215</v>
      </c>
      <c r="S169" s="7" t="s">
        <v>2216</v>
      </c>
    </row>
    <row r="170" customFormat="false" ht="23.85" hidden="false" customHeight="false" outlineLevel="0" collapsed="false">
      <c r="A170" s="7" t="s">
        <v>2218</v>
      </c>
      <c r="B170" s="7" t="s">
        <v>116</v>
      </c>
      <c r="C170" s="7" t="s">
        <v>985</v>
      </c>
      <c r="D170" s="7" t="s">
        <v>98</v>
      </c>
      <c r="E170" s="7" t="s">
        <v>2219</v>
      </c>
      <c r="F170" s="7" t="s">
        <v>2209</v>
      </c>
      <c r="G170" s="7" t="s">
        <v>85</v>
      </c>
      <c r="H170" s="7" t="s">
        <v>2221</v>
      </c>
      <c r="I170" s="7" t="s">
        <v>87</v>
      </c>
      <c r="J170" s="7"/>
      <c r="K170" s="7"/>
      <c r="L170" s="7" t="s">
        <v>106</v>
      </c>
      <c r="M170" s="7" t="s">
        <v>988</v>
      </c>
      <c r="N170" s="7" t="s">
        <v>92</v>
      </c>
      <c r="O170" s="7"/>
      <c r="P170" s="7"/>
      <c r="Q170" s="8" t="s">
        <v>2214</v>
      </c>
      <c r="R170" s="7"/>
      <c r="S170" s="7"/>
    </row>
    <row r="171" customFormat="false" ht="23.85" hidden="false" customHeight="false" outlineLevel="0" collapsed="false">
      <c r="A171" s="7" t="s">
        <v>2225</v>
      </c>
      <c r="B171" s="7" t="s">
        <v>116</v>
      </c>
      <c r="C171" s="7" t="s">
        <v>985</v>
      </c>
      <c r="D171" s="7" t="s">
        <v>78</v>
      </c>
      <c r="E171" s="7" t="s">
        <v>2226</v>
      </c>
      <c r="F171" s="7" t="s">
        <v>2209</v>
      </c>
      <c r="G171" s="7" t="s">
        <v>85</v>
      </c>
      <c r="H171" s="7" t="s">
        <v>2228</v>
      </c>
      <c r="I171" s="7" t="s">
        <v>87</v>
      </c>
      <c r="J171" s="7"/>
      <c r="K171" s="7"/>
      <c r="L171" s="7" t="s">
        <v>88</v>
      </c>
      <c r="M171" s="7" t="s">
        <v>1276</v>
      </c>
      <c r="N171" s="7" t="s">
        <v>109</v>
      </c>
      <c r="O171" s="7" t="s">
        <v>2230</v>
      </c>
      <c r="P171" s="7"/>
      <c r="Q171" s="8" t="s">
        <v>2231</v>
      </c>
      <c r="R171" s="7" t="s">
        <v>2232</v>
      </c>
      <c r="S171" s="7" t="s">
        <v>2233</v>
      </c>
    </row>
    <row r="172" customFormat="false" ht="23.85" hidden="false" customHeight="false" outlineLevel="0" collapsed="false">
      <c r="A172" s="7" t="s">
        <v>2264</v>
      </c>
      <c r="B172" s="7" t="s">
        <v>116</v>
      </c>
      <c r="C172" s="7" t="s">
        <v>985</v>
      </c>
      <c r="D172" s="7" t="s">
        <v>78</v>
      </c>
      <c r="E172" s="7" t="s">
        <v>2265</v>
      </c>
      <c r="F172" s="7" t="s">
        <v>2266</v>
      </c>
      <c r="G172" s="7" t="s">
        <v>85</v>
      </c>
      <c r="H172" s="7" t="s">
        <v>105</v>
      </c>
      <c r="I172" s="7" t="s">
        <v>87</v>
      </c>
      <c r="J172" s="7"/>
      <c r="K172" s="7"/>
      <c r="L172" s="7" t="s">
        <v>88</v>
      </c>
      <c r="M172" s="7" t="s">
        <v>988</v>
      </c>
      <c r="N172" s="7" t="s">
        <v>92</v>
      </c>
      <c r="O172" s="7"/>
      <c r="P172" s="7"/>
      <c r="Q172" s="8" t="s">
        <v>2270</v>
      </c>
      <c r="R172" s="7" t="s">
        <v>2271</v>
      </c>
      <c r="S172" s="7"/>
    </row>
    <row r="173" customFormat="false" ht="35.05" hidden="false" customHeight="false" outlineLevel="0" collapsed="false">
      <c r="A173" s="7" t="s">
        <v>2273</v>
      </c>
      <c r="B173" s="7" t="s">
        <v>116</v>
      </c>
      <c r="C173" s="7" t="s">
        <v>985</v>
      </c>
      <c r="D173" s="7" t="s">
        <v>98</v>
      </c>
      <c r="E173" s="7" t="s">
        <v>2274</v>
      </c>
      <c r="F173" s="7" t="s">
        <v>2275</v>
      </c>
      <c r="G173" s="7" t="s">
        <v>85</v>
      </c>
      <c r="H173" s="7" t="s">
        <v>105</v>
      </c>
      <c r="I173" s="7" t="s">
        <v>87</v>
      </c>
      <c r="J173" s="7"/>
      <c r="K173" s="7"/>
      <c r="L173" s="7" t="s">
        <v>106</v>
      </c>
      <c r="M173" s="7" t="s">
        <v>2277</v>
      </c>
      <c r="N173" s="7" t="s">
        <v>109</v>
      </c>
      <c r="O173" s="7" t="s">
        <v>2280</v>
      </c>
      <c r="P173" s="7"/>
      <c r="Q173" s="8" t="s">
        <v>2281</v>
      </c>
      <c r="R173" s="7"/>
      <c r="S173" s="7"/>
    </row>
    <row r="174" customFormat="false" ht="23.85" hidden="false" customHeight="false" outlineLevel="0" collapsed="false">
      <c r="A174" s="7" t="s">
        <v>2282</v>
      </c>
      <c r="B174" s="7" t="s">
        <v>116</v>
      </c>
      <c r="C174" s="7" t="s">
        <v>985</v>
      </c>
      <c r="D174" s="7" t="s">
        <v>98</v>
      </c>
      <c r="E174" s="7" t="s">
        <v>2283</v>
      </c>
      <c r="F174" s="7" t="s">
        <v>2284</v>
      </c>
      <c r="G174" s="7" t="s">
        <v>85</v>
      </c>
      <c r="H174" s="7" t="s">
        <v>105</v>
      </c>
      <c r="I174" s="7" t="s">
        <v>87</v>
      </c>
      <c r="J174" s="7"/>
      <c r="K174" s="7"/>
      <c r="L174" s="7" t="s">
        <v>106</v>
      </c>
      <c r="M174" s="7" t="s">
        <v>988</v>
      </c>
      <c r="N174" s="7" t="s">
        <v>109</v>
      </c>
      <c r="O174" s="7" t="s">
        <v>2286</v>
      </c>
      <c r="P174" s="7"/>
      <c r="Q174" s="8" t="s">
        <v>2287</v>
      </c>
      <c r="R174" s="7"/>
      <c r="S174" s="7"/>
    </row>
    <row r="175" customFormat="false" ht="23.85" hidden="false" customHeight="false" outlineLevel="0" collapsed="false">
      <c r="A175" s="7" t="s">
        <v>2288</v>
      </c>
      <c r="B175" s="7" t="s">
        <v>116</v>
      </c>
      <c r="C175" s="7" t="s">
        <v>985</v>
      </c>
      <c r="D175" s="7" t="s">
        <v>98</v>
      </c>
      <c r="E175" s="7" t="s">
        <v>2289</v>
      </c>
      <c r="F175" s="7" t="s">
        <v>2290</v>
      </c>
      <c r="G175" s="7" t="s">
        <v>85</v>
      </c>
      <c r="H175" s="7" t="s">
        <v>105</v>
      </c>
      <c r="I175" s="7" t="s">
        <v>87</v>
      </c>
      <c r="J175" s="7"/>
      <c r="K175" s="7"/>
      <c r="L175" s="7" t="s">
        <v>106</v>
      </c>
      <c r="M175" s="7" t="s">
        <v>988</v>
      </c>
      <c r="N175" s="7" t="s">
        <v>92</v>
      </c>
      <c r="O175" s="7"/>
      <c r="P175" s="7"/>
      <c r="Q175" s="8" t="s">
        <v>2292</v>
      </c>
      <c r="R175" s="7"/>
      <c r="S175" s="7"/>
    </row>
    <row r="176" customFormat="false" ht="23.85" hidden="false" customHeight="false" outlineLevel="0" collapsed="false">
      <c r="A176" s="7" t="s">
        <v>2294</v>
      </c>
      <c r="B176" s="7" t="s">
        <v>116</v>
      </c>
      <c r="C176" s="7" t="s">
        <v>985</v>
      </c>
      <c r="D176" s="7" t="s">
        <v>98</v>
      </c>
      <c r="E176" s="7" t="s">
        <v>2295</v>
      </c>
      <c r="F176" s="7" t="s">
        <v>2290</v>
      </c>
      <c r="G176" s="7" t="s">
        <v>85</v>
      </c>
      <c r="H176" s="7" t="s">
        <v>105</v>
      </c>
      <c r="I176" s="7" t="s">
        <v>87</v>
      </c>
      <c r="J176" s="7"/>
      <c r="K176" s="7"/>
      <c r="L176" s="7" t="s">
        <v>106</v>
      </c>
      <c r="M176" s="7" t="s">
        <v>988</v>
      </c>
      <c r="N176" s="7" t="s">
        <v>92</v>
      </c>
      <c r="O176" s="7"/>
      <c r="P176" s="7"/>
      <c r="Q176" s="8" t="s">
        <v>2297</v>
      </c>
      <c r="R176" s="7" t="s">
        <v>2299</v>
      </c>
      <c r="S176" s="7"/>
    </row>
    <row r="177" customFormat="false" ht="23.85" hidden="false" customHeight="false" outlineLevel="0" collapsed="false">
      <c r="A177" s="7" t="s">
        <v>2301</v>
      </c>
      <c r="B177" s="7" t="s">
        <v>116</v>
      </c>
      <c r="C177" s="7" t="s">
        <v>985</v>
      </c>
      <c r="D177" s="7" t="s">
        <v>98</v>
      </c>
      <c r="E177" s="7" t="s">
        <v>2302</v>
      </c>
      <c r="F177" s="7" t="s">
        <v>2290</v>
      </c>
      <c r="G177" s="7" t="s">
        <v>85</v>
      </c>
      <c r="H177" s="7" t="s">
        <v>105</v>
      </c>
      <c r="I177" s="7" t="s">
        <v>87</v>
      </c>
      <c r="J177" s="7"/>
      <c r="K177" s="7"/>
      <c r="L177" s="7" t="s">
        <v>106</v>
      </c>
      <c r="M177" s="7" t="s">
        <v>988</v>
      </c>
      <c r="N177" s="7" t="s">
        <v>92</v>
      </c>
      <c r="O177" s="7"/>
      <c r="P177" s="7"/>
      <c r="Q177" s="8" t="s">
        <v>2305</v>
      </c>
      <c r="R177" s="7"/>
      <c r="S177" s="7"/>
    </row>
    <row r="178" customFormat="false" ht="23.85" hidden="false" customHeight="false" outlineLevel="0" collapsed="false">
      <c r="A178" s="7" t="s">
        <v>2307</v>
      </c>
      <c r="B178" s="7" t="s">
        <v>116</v>
      </c>
      <c r="C178" s="7" t="s">
        <v>985</v>
      </c>
      <c r="D178" s="7" t="s">
        <v>78</v>
      </c>
      <c r="E178" s="7" t="s">
        <v>2308</v>
      </c>
      <c r="F178" s="7" t="s">
        <v>2290</v>
      </c>
      <c r="G178" s="7" t="s">
        <v>85</v>
      </c>
      <c r="H178" s="7" t="s">
        <v>105</v>
      </c>
      <c r="I178" s="7" t="s">
        <v>87</v>
      </c>
      <c r="J178" s="7" t="s">
        <v>2309</v>
      </c>
      <c r="K178" s="7"/>
      <c r="L178" s="7" t="s">
        <v>88</v>
      </c>
      <c r="M178" s="7" t="s">
        <v>988</v>
      </c>
      <c r="N178" s="7" t="s">
        <v>109</v>
      </c>
      <c r="O178" s="7" t="s">
        <v>2311</v>
      </c>
      <c r="P178" s="7"/>
      <c r="Q178" s="8" t="s">
        <v>2297</v>
      </c>
      <c r="R178" s="7"/>
      <c r="S178" s="7"/>
    </row>
    <row r="179" customFormat="false" ht="57.45" hidden="false" customHeight="false" outlineLevel="0" collapsed="false">
      <c r="A179" s="7" t="s">
        <v>2314</v>
      </c>
      <c r="B179" s="7" t="s">
        <v>76</v>
      </c>
      <c r="C179" s="7" t="s">
        <v>985</v>
      </c>
      <c r="D179" s="7" t="s">
        <v>78</v>
      </c>
      <c r="E179" s="7" t="s">
        <v>2315</v>
      </c>
      <c r="F179" s="7" t="s">
        <v>590</v>
      </c>
      <c r="G179" s="7" t="s">
        <v>85</v>
      </c>
      <c r="H179" s="7" t="s">
        <v>2317</v>
      </c>
      <c r="I179" s="7" t="s">
        <v>87</v>
      </c>
      <c r="J179" s="7" t="s">
        <v>2318</v>
      </c>
      <c r="K179" s="7" t="s">
        <v>2319</v>
      </c>
      <c r="L179" s="7" t="s">
        <v>2320</v>
      </c>
      <c r="M179" s="7" t="s">
        <v>2321</v>
      </c>
      <c r="N179" s="7" t="s">
        <v>109</v>
      </c>
      <c r="O179" s="7" t="s">
        <v>2324</v>
      </c>
      <c r="P179" s="7"/>
      <c r="Q179" s="8" t="s">
        <v>2327</v>
      </c>
      <c r="R179" s="7" t="s">
        <v>2328</v>
      </c>
      <c r="S179" s="7" t="s">
        <v>2329</v>
      </c>
    </row>
    <row r="180" customFormat="false" ht="35.05" hidden="false" customHeight="false" outlineLevel="0" collapsed="false">
      <c r="A180" s="7" t="s">
        <v>2358</v>
      </c>
      <c r="B180" s="7" t="s">
        <v>116</v>
      </c>
      <c r="C180" s="7" t="s">
        <v>985</v>
      </c>
      <c r="D180" s="7" t="s">
        <v>98</v>
      </c>
      <c r="E180" s="7" t="s">
        <v>2359</v>
      </c>
      <c r="F180" s="7" t="s">
        <v>2361</v>
      </c>
      <c r="G180" s="7" t="s">
        <v>85</v>
      </c>
      <c r="H180" s="7" t="s">
        <v>105</v>
      </c>
      <c r="I180" s="7" t="s">
        <v>87</v>
      </c>
      <c r="J180" s="7"/>
      <c r="K180" s="7"/>
      <c r="L180" s="7" t="s">
        <v>106</v>
      </c>
      <c r="M180" s="7" t="s">
        <v>988</v>
      </c>
      <c r="N180" s="7" t="s">
        <v>92</v>
      </c>
      <c r="O180" s="7"/>
      <c r="P180" s="7"/>
      <c r="Q180" s="8" t="s">
        <v>2364</v>
      </c>
      <c r="R180" s="7" t="s">
        <v>2365</v>
      </c>
      <c r="S180" s="7"/>
    </row>
    <row r="181" customFormat="false" ht="23.85" hidden="false" customHeight="false" outlineLevel="0" collapsed="false">
      <c r="A181" s="7" t="s">
        <v>2367</v>
      </c>
      <c r="B181" s="7" t="s">
        <v>116</v>
      </c>
      <c r="C181" s="7" t="s">
        <v>985</v>
      </c>
      <c r="D181" s="7" t="s">
        <v>78</v>
      </c>
      <c r="E181" s="7" t="s">
        <v>2368</v>
      </c>
      <c r="F181" s="7" t="s">
        <v>2369</v>
      </c>
      <c r="G181" s="7" t="s">
        <v>85</v>
      </c>
      <c r="H181" s="7" t="s">
        <v>105</v>
      </c>
      <c r="I181" s="7" t="s">
        <v>87</v>
      </c>
      <c r="J181" s="7"/>
      <c r="K181" s="7"/>
      <c r="L181" s="7" t="s">
        <v>88</v>
      </c>
      <c r="M181" s="7" t="s">
        <v>988</v>
      </c>
      <c r="N181" s="7" t="s">
        <v>92</v>
      </c>
      <c r="O181" s="7"/>
      <c r="P181" s="7"/>
      <c r="Q181" s="8" t="s">
        <v>2373</v>
      </c>
      <c r="R181" s="7" t="s">
        <v>2374</v>
      </c>
      <c r="S181" s="7"/>
    </row>
    <row r="182" customFormat="false" ht="35.05" hidden="false" customHeight="false" outlineLevel="0" collapsed="false">
      <c r="A182" s="7" t="s">
        <v>2376</v>
      </c>
      <c r="B182" s="7" t="s">
        <v>116</v>
      </c>
      <c r="C182" s="7" t="s">
        <v>985</v>
      </c>
      <c r="D182" s="7" t="s">
        <v>98</v>
      </c>
      <c r="E182" s="7" t="s">
        <v>2377</v>
      </c>
      <c r="F182" s="7" t="s">
        <v>2378</v>
      </c>
      <c r="G182" s="7" t="s">
        <v>85</v>
      </c>
      <c r="H182" s="7" t="s">
        <v>2380</v>
      </c>
      <c r="I182" s="7" t="s">
        <v>87</v>
      </c>
      <c r="J182" s="7"/>
      <c r="K182" s="7"/>
      <c r="L182" s="7" t="s">
        <v>106</v>
      </c>
      <c r="M182" s="7" t="s">
        <v>2381</v>
      </c>
      <c r="N182" s="7" t="s">
        <v>92</v>
      </c>
      <c r="O182" s="7"/>
      <c r="P182" s="7"/>
      <c r="Q182" s="8" t="s">
        <v>2383</v>
      </c>
      <c r="R182" s="7" t="s">
        <v>2384</v>
      </c>
      <c r="S182" s="7"/>
    </row>
    <row r="183" customFormat="false" ht="23.85" hidden="false" customHeight="false" outlineLevel="0" collapsed="false">
      <c r="A183" s="7" t="s">
        <v>2386</v>
      </c>
      <c r="B183" s="7" t="s">
        <v>116</v>
      </c>
      <c r="C183" s="7" t="s">
        <v>985</v>
      </c>
      <c r="D183" s="7" t="s">
        <v>98</v>
      </c>
      <c r="E183" s="7" t="s">
        <v>2387</v>
      </c>
      <c r="F183" s="7" t="s">
        <v>2389</v>
      </c>
      <c r="G183" s="7" t="s">
        <v>85</v>
      </c>
      <c r="H183" s="7" t="s">
        <v>2391</v>
      </c>
      <c r="I183" s="7" t="s">
        <v>87</v>
      </c>
      <c r="J183" s="7"/>
      <c r="K183" s="7"/>
      <c r="L183" s="7" t="s">
        <v>106</v>
      </c>
      <c r="M183" s="7" t="s">
        <v>988</v>
      </c>
      <c r="N183" s="7" t="s">
        <v>189</v>
      </c>
      <c r="O183" s="7"/>
      <c r="P183" s="7"/>
      <c r="Q183" s="8" t="s">
        <v>2393</v>
      </c>
      <c r="R183" s="7" t="s">
        <v>2394</v>
      </c>
      <c r="S183" s="7" t="s">
        <v>2395</v>
      </c>
    </row>
    <row r="184" customFormat="false" ht="23.85" hidden="false" customHeight="false" outlineLevel="0" collapsed="false">
      <c r="A184" s="7" t="s">
        <v>2406</v>
      </c>
      <c r="B184" s="7" t="s">
        <v>116</v>
      </c>
      <c r="C184" s="7" t="s">
        <v>985</v>
      </c>
      <c r="D184" s="7" t="s">
        <v>78</v>
      </c>
      <c r="E184" s="7" t="s">
        <v>2407</v>
      </c>
      <c r="F184" s="7" t="s">
        <v>2408</v>
      </c>
      <c r="G184" s="7" t="s">
        <v>85</v>
      </c>
      <c r="H184" s="7" t="s">
        <v>105</v>
      </c>
      <c r="I184" s="7" t="s">
        <v>87</v>
      </c>
      <c r="J184" s="7"/>
      <c r="K184" s="7"/>
      <c r="L184" s="7" t="s">
        <v>2409</v>
      </c>
      <c r="M184" s="7" t="s">
        <v>988</v>
      </c>
      <c r="N184" s="7" t="s">
        <v>92</v>
      </c>
      <c r="O184" s="7"/>
      <c r="P184" s="7"/>
      <c r="Q184" s="8" t="s">
        <v>2411</v>
      </c>
      <c r="R184" s="7"/>
      <c r="S184" s="7"/>
    </row>
    <row r="185" customFormat="false" ht="23.85" hidden="false" customHeight="false" outlineLevel="0" collapsed="false">
      <c r="A185" s="7" t="s">
        <v>2418</v>
      </c>
      <c r="B185" s="7" t="s">
        <v>116</v>
      </c>
      <c r="C185" s="7" t="s">
        <v>985</v>
      </c>
      <c r="D185" s="7" t="s">
        <v>98</v>
      </c>
      <c r="E185" s="7" t="s">
        <v>2419</v>
      </c>
      <c r="F185" s="7" t="s">
        <v>2421</v>
      </c>
      <c r="G185" s="7" t="s">
        <v>85</v>
      </c>
      <c r="H185" s="7" t="s">
        <v>105</v>
      </c>
      <c r="I185" s="7" t="s">
        <v>87</v>
      </c>
      <c r="J185" s="7"/>
      <c r="K185" s="7"/>
      <c r="L185" s="7" t="s">
        <v>106</v>
      </c>
      <c r="M185" s="7" t="s">
        <v>988</v>
      </c>
      <c r="N185" s="7" t="s">
        <v>92</v>
      </c>
      <c r="O185" s="7"/>
      <c r="P185" s="7"/>
      <c r="Q185" s="8" t="s">
        <v>2424</v>
      </c>
      <c r="R185" s="7"/>
      <c r="S185" s="7"/>
    </row>
    <row r="186" customFormat="false" ht="35.05" hidden="false" customHeight="false" outlineLevel="0" collapsed="false">
      <c r="A186" s="7" t="s">
        <v>2442</v>
      </c>
      <c r="B186" s="7" t="s">
        <v>76</v>
      </c>
      <c r="C186" s="7" t="s">
        <v>985</v>
      </c>
      <c r="D186" s="7" t="s">
        <v>78</v>
      </c>
      <c r="E186" s="7" t="s">
        <v>2443</v>
      </c>
      <c r="F186" s="7" t="s">
        <v>474</v>
      </c>
      <c r="G186" s="7" t="s">
        <v>85</v>
      </c>
      <c r="H186" s="7" t="s">
        <v>2445</v>
      </c>
      <c r="I186" s="7" t="s">
        <v>87</v>
      </c>
      <c r="J186" s="7" t="s">
        <v>2446</v>
      </c>
      <c r="K186" s="7" t="s">
        <v>2447</v>
      </c>
      <c r="L186" s="7" t="s">
        <v>2448</v>
      </c>
      <c r="M186" s="7" t="s">
        <v>2449</v>
      </c>
      <c r="N186" s="7" t="s">
        <v>109</v>
      </c>
      <c r="O186" s="7" t="s">
        <v>2452</v>
      </c>
      <c r="P186" s="7" t="s">
        <v>2456</v>
      </c>
      <c r="Q186" s="8" t="s">
        <v>2457</v>
      </c>
      <c r="R186" s="7" t="s">
        <v>2458</v>
      </c>
      <c r="S186" s="7" t="s">
        <v>2459</v>
      </c>
    </row>
    <row r="187" customFormat="false" ht="35.05" hidden="false" customHeight="false" outlineLevel="0" collapsed="false">
      <c r="A187" s="7" t="s">
        <v>2461</v>
      </c>
      <c r="B187" s="7" t="s">
        <v>116</v>
      </c>
      <c r="C187" s="7" t="s">
        <v>985</v>
      </c>
      <c r="D187" s="7" t="s">
        <v>98</v>
      </c>
      <c r="E187" s="7" t="s">
        <v>2462</v>
      </c>
      <c r="F187" s="7" t="s">
        <v>474</v>
      </c>
      <c r="G187" s="7" t="s">
        <v>85</v>
      </c>
      <c r="H187" s="7" t="s">
        <v>2464</v>
      </c>
      <c r="I187" s="7" t="s">
        <v>2465</v>
      </c>
      <c r="J187" s="7"/>
      <c r="K187" s="7"/>
      <c r="L187" s="7" t="s">
        <v>106</v>
      </c>
      <c r="M187" s="7" t="s">
        <v>2466</v>
      </c>
      <c r="N187" s="7" t="s">
        <v>65</v>
      </c>
      <c r="O187" s="7"/>
      <c r="P187" s="7" t="s">
        <v>2470</v>
      </c>
      <c r="Q187" s="8" t="s">
        <v>2468</v>
      </c>
      <c r="R187" s="7" t="s">
        <v>2471</v>
      </c>
      <c r="S187" s="7" t="s">
        <v>2472</v>
      </c>
    </row>
    <row r="188" customFormat="false" ht="23.85" hidden="false" customHeight="false" outlineLevel="0" collapsed="false">
      <c r="A188" s="7" t="s">
        <v>2474</v>
      </c>
      <c r="B188" s="7" t="s">
        <v>116</v>
      </c>
      <c r="C188" s="7" t="s">
        <v>985</v>
      </c>
      <c r="D188" s="7" t="s">
        <v>98</v>
      </c>
      <c r="E188" s="7" t="s">
        <v>2475</v>
      </c>
      <c r="F188" s="7" t="s">
        <v>474</v>
      </c>
      <c r="G188" s="7" t="s">
        <v>85</v>
      </c>
      <c r="H188" s="7" t="s">
        <v>2477</v>
      </c>
      <c r="I188" s="7" t="s">
        <v>2478</v>
      </c>
      <c r="J188" s="7"/>
      <c r="K188" s="7"/>
      <c r="L188" s="7" t="s">
        <v>106</v>
      </c>
      <c r="M188" s="7" t="s">
        <v>1276</v>
      </c>
      <c r="N188" s="7" t="s">
        <v>109</v>
      </c>
      <c r="O188" s="7" t="s">
        <v>2480</v>
      </c>
      <c r="P188" s="7" t="s">
        <v>2482</v>
      </c>
      <c r="Q188" s="8" t="s">
        <v>2481</v>
      </c>
      <c r="R188" s="7"/>
      <c r="S188" s="7"/>
    </row>
    <row r="189" customFormat="false" ht="23.85" hidden="false" customHeight="false" outlineLevel="0" collapsed="false">
      <c r="A189" s="7" t="s">
        <v>2484</v>
      </c>
      <c r="B189" s="7" t="s">
        <v>116</v>
      </c>
      <c r="C189" s="7" t="s">
        <v>985</v>
      </c>
      <c r="D189" s="7" t="s">
        <v>98</v>
      </c>
      <c r="E189" s="7" t="s">
        <v>2485</v>
      </c>
      <c r="F189" s="7" t="s">
        <v>474</v>
      </c>
      <c r="G189" s="7" t="s">
        <v>85</v>
      </c>
      <c r="H189" s="7" t="s">
        <v>2487</v>
      </c>
      <c r="I189" s="7" t="s">
        <v>87</v>
      </c>
      <c r="J189" s="7"/>
      <c r="K189" s="7"/>
      <c r="L189" s="7" t="s">
        <v>2488</v>
      </c>
      <c r="M189" s="7" t="s">
        <v>1276</v>
      </c>
      <c r="N189" s="7" t="s">
        <v>109</v>
      </c>
      <c r="O189" s="7" t="s">
        <v>2491</v>
      </c>
      <c r="P189" s="7"/>
      <c r="Q189" s="8" t="s">
        <v>2492</v>
      </c>
      <c r="R189" s="7" t="s">
        <v>2493</v>
      </c>
      <c r="S189" s="7"/>
    </row>
    <row r="190" customFormat="false" ht="23.85" hidden="false" customHeight="false" outlineLevel="0" collapsed="false">
      <c r="A190" s="7" t="s">
        <v>2495</v>
      </c>
      <c r="B190" s="7" t="s">
        <v>116</v>
      </c>
      <c r="C190" s="7" t="s">
        <v>985</v>
      </c>
      <c r="D190" s="7" t="s">
        <v>78</v>
      </c>
      <c r="E190" s="7" t="s">
        <v>2496</v>
      </c>
      <c r="F190" s="7" t="s">
        <v>474</v>
      </c>
      <c r="G190" s="7" t="s">
        <v>85</v>
      </c>
      <c r="H190" s="7" t="s">
        <v>105</v>
      </c>
      <c r="I190" s="7" t="s">
        <v>87</v>
      </c>
      <c r="J190" s="7"/>
      <c r="K190" s="7"/>
      <c r="L190" s="7" t="s">
        <v>88</v>
      </c>
      <c r="M190" s="7" t="s">
        <v>988</v>
      </c>
      <c r="N190" s="7" t="s">
        <v>109</v>
      </c>
      <c r="O190" s="7" t="s">
        <v>2500</v>
      </c>
      <c r="P190" s="7"/>
      <c r="Q190" s="8" t="s">
        <v>2501</v>
      </c>
      <c r="R190" s="7"/>
      <c r="S190" s="7"/>
    </row>
    <row r="191" customFormat="false" ht="23.85" hidden="false" customHeight="false" outlineLevel="0" collapsed="false">
      <c r="A191" s="7" t="s">
        <v>2502</v>
      </c>
      <c r="B191" s="7" t="s">
        <v>116</v>
      </c>
      <c r="C191" s="7" t="s">
        <v>985</v>
      </c>
      <c r="D191" s="7" t="s">
        <v>78</v>
      </c>
      <c r="E191" s="7" t="s">
        <v>2503</v>
      </c>
      <c r="F191" s="7" t="s">
        <v>474</v>
      </c>
      <c r="G191" s="7" t="s">
        <v>85</v>
      </c>
      <c r="H191" s="7" t="s">
        <v>105</v>
      </c>
      <c r="I191" s="7" t="s">
        <v>87</v>
      </c>
      <c r="J191" s="7"/>
      <c r="K191" s="7"/>
      <c r="L191" s="7" t="s">
        <v>88</v>
      </c>
      <c r="M191" s="7" t="s">
        <v>988</v>
      </c>
      <c r="N191" s="7" t="s">
        <v>92</v>
      </c>
      <c r="O191" s="7"/>
      <c r="P191" s="7"/>
      <c r="Q191" s="8" t="s">
        <v>2507</v>
      </c>
      <c r="R191" s="7"/>
      <c r="S191" s="7"/>
    </row>
    <row r="192" customFormat="false" ht="23.85" hidden="false" customHeight="false" outlineLevel="0" collapsed="false">
      <c r="A192" s="7" t="s">
        <v>2508</v>
      </c>
      <c r="B192" s="7" t="s">
        <v>116</v>
      </c>
      <c r="C192" s="7" t="s">
        <v>985</v>
      </c>
      <c r="D192" s="7" t="s">
        <v>78</v>
      </c>
      <c r="E192" s="7" t="s">
        <v>2509</v>
      </c>
      <c r="F192" s="7" t="s">
        <v>474</v>
      </c>
      <c r="G192" s="7" t="s">
        <v>85</v>
      </c>
      <c r="H192" s="7" t="s">
        <v>105</v>
      </c>
      <c r="I192" s="7" t="s">
        <v>87</v>
      </c>
      <c r="J192" s="7"/>
      <c r="K192" s="7"/>
      <c r="L192" s="7" t="s">
        <v>88</v>
      </c>
      <c r="M192" s="7" t="s">
        <v>988</v>
      </c>
      <c r="N192" s="7" t="s">
        <v>109</v>
      </c>
      <c r="O192" s="7" t="s">
        <v>2511</v>
      </c>
      <c r="P192" s="7"/>
      <c r="Q192" s="8" t="s">
        <v>2512</v>
      </c>
      <c r="R192" s="7"/>
      <c r="S192" s="7"/>
    </row>
    <row r="193" customFormat="false" ht="23.85" hidden="false" customHeight="false" outlineLevel="0" collapsed="false">
      <c r="A193" s="7" t="s">
        <v>2591</v>
      </c>
      <c r="B193" s="7" t="s">
        <v>116</v>
      </c>
      <c r="C193" s="7" t="s">
        <v>985</v>
      </c>
      <c r="D193" s="7" t="s">
        <v>98</v>
      </c>
      <c r="E193" s="7" t="s">
        <v>2592</v>
      </c>
      <c r="F193" s="7" t="s">
        <v>948</v>
      </c>
      <c r="G193" s="7" t="s">
        <v>85</v>
      </c>
      <c r="H193" s="7" t="s">
        <v>2594</v>
      </c>
      <c r="I193" s="7" t="s">
        <v>87</v>
      </c>
      <c r="J193" s="7" t="s">
        <v>2595</v>
      </c>
      <c r="K193" s="7"/>
      <c r="L193" s="7" t="s">
        <v>106</v>
      </c>
      <c r="M193" s="7" t="s">
        <v>988</v>
      </c>
      <c r="N193" s="7" t="s">
        <v>92</v>
      </c>
      <c r="O193" s="7"/>
      <c r="P193" s="7"/>
      <c r="Q193" s="8" t="s">
        <v>2598</v>
      </c>
      <c r="R193" s="7" t="s">
        <v>2520</v>
      </c>
      <c r="S193" s="7"/>
    </row>
    <row r="194" customFormat="false" ht="23.85" hidden="false" customHeight="false" outlineLevel="0" collapsed="false">
      <c r="A194" s="7" t="s">
        <v>2601</v>
      </c>
      <c r="B194" s="7" t="s">
        <v>116</v>
      </c>
      <c r="C194" s="7" t="s">
        <v>985</v>
      </c>
      <c r="D194" s="7" t="s">
        <v>98</v>
      </c>
      <c r="E194" s="7" t="s">
        <v>2602</v>
      </c>
      <c r="F194" s="7" t="s">
        <v>948</v>
      </c>
      <c r="G194" s="7" t="s">
        <v>85</v>
      </c>
      <c r="H194" s="7" t="s">
        <v>2604</v>
      </c>
      <c r="I194" s="7" t="s">
        <v>87</v>
      </c>
      <c r="J194" s="7" t="s">
        <v>2605</v>
      </c>
      <c r="K194" s="7"/>
      <c r="L194" s="7" t="s">
        <v>106</v>
      </c>
      <c r="M194" s="7" t="s">
        <v>988</v>
      </c>
      <c r="N194" s="7" t="s">
        <v>1014</v>
      </c>
      <c r="O194" s="7"/>
      <c r="P194" s="7"/>
      <c r="Q194" s="8" t="s">
        <v>2598</v>
      </c>
      <c r="R194" s="7"/>
      <c r="S194" s="7"/>
    </row>
    <row r="195" customFormat="false" ht="46.25" hidden="false" customHeight="false" outlineLevel="0" collapsed="false">
      <c r="A195" s="7" t="s">
        <v>2609</v>
      </c>
      <c r="B195" s="7" t="s">
        <v>116</v>
      </c>
      <c r="C195" s="7" t="s">
        <v>985</v>
      </c>
      <c r="D195" s="7" t="s">
        <v>78</v>
      </c>
      <c r="E195" s="7" t="s">
        <v>2610</v>
      </c>
      <c r="F195" s="7" t="s">
        <v>948</v>
      </c>
      <c r="G195" s="7" t="s">
        <v>85</v>
      </c>
      <c r="H195" s="7" t="s">
        <v>2612</v>
      </c>
      <c r="I195" s="7" t="s">
        <v>2613</v>
      </c>
      <c r="J195" s="7"/>
      <c r="K195" s="7" t="s">
        <v>2614</v>
      </c>
      <c r="L195" s="7" t="s">
        <v>2615</v>
      </c>
      <c r="M195" s="7" t="s">
        <v>2616</v>
      </c>
      <c r="N195" s="7" t="s">
        <v>1014</v>
      </c>
      <c r="O195" s="7"/>
      <c r="P195" s="7" t="s">
        <v>2619</v>
      </c>
      <c r="Q195" s="8" t="s">
        <v>2620</v>
      </c>
      <c r="R195" s="7" t="s">
        <v>2622</v>
      </c>
      <c r="S195" s="7"/>
    </row>
    <row r="196" customFormat="false" ht="23.85" hidden="false" customHeight="false" outlineLevel="0" collapsed="false">
      <c r="A196" s="7" t="s">
        <v>2624</v>
      </c>
      <c r="B196" s="7" t="s">
        <v>116</v>
      </c>
      <c r="C196" s="7" t="s">
        <v>985</v>
      </c>
      <c r="D196" s="7" t="s">
        <v>98</v>
      </c>
      <c r="E196" s="7" t="s">
        <v>2625</v>
      </c>
      <c r="F196" s="7" t="s">
        <v>2627</v>
      </c>
      <c r="G196" s="7" t="s">
        <v>85</v>
      </c>
      <c r="H196" s="7" t="s">
        <v>2629</v>
      </c>
      <c r="I196" s="7" t="s">
        <v>87</v>
      </c>
      <c r="J196" s="7" t="s">
        <v>2630</v>
      </c>
      <c r="K196" s="7"/>
      <c r="L196" s="7" t="s">
        <v>106</v>
      </c>
      <c r="M196" s="7" t="s">
        <v>2631</v>
      </c>
      <c r="N196" s="7" t="s">
        <v>92</v>
      </c>
      <c r="O196" s="7"/>
      <c r="P196" s="7" t="s">
        <v>2633</v>
      </c>
      <c r="Q196" s="8" t="s">
        <v>2634</v>
      </c>
      <c r="R196" s="7"/>
      <c r="S196" s="7"/>
    </row>
    <row r="197" customFormat="false" ht="57.45" hidden="false" customHeight="false" outlineLevel="0" collapsed="false">
      <c r="A197" s="7" t="s">
        <v>2636</v>
      </c>
      <c r="B197" s="7" t="s">
        <v>116</v>
      </c>
      <c r="C197" s="7" t="s">
        <v>985</v>
      </c>
      <c r="D197" s="7" t="s">
        <v>98</v>
      </c>
      <c r="E197" s="7" t="s">
        <v>2637</v>
      </c>
      <c r="F197" s="7" t="s">
        <v>2627</v>
      </c>
      <c r="G197" s="7" t="s">
        <v>85</v>
      </c>
      <c r="H197" s="7" t="s">
        <v>2639</v>
      </c>
      <c r="I197" s="7" t="s">
        <v>87</v>
      </c>
      <c r="J197" s="7"/>
      <c r="K197" s="7"/>
      <c r="L197" s="7" t="s">
        <v>106</v>
      </c>
      <c r="M197" s="7" t="s">
        <v>2640</v>
      </c>
      <c r="N197" s="7" t="s">
        <v>189</v>
      </c>
      <c r="O197" s="7"/>
      <c r="P197" s="7"/>
      <c r="Q197" s="8" t="s">
        <v>2644</v>
      </c>
      <c r="R197" s="7" t="s">
        <v>2646</v>
      </c>
      <c r="S197" s="7"/>
    </row>
    <row r="198" customFormat="false" ht="23.85" hidden="false" customHeight="false" outlineLevel="0" collapsed="false">
      <c r="A198" s="7" t="s">
        <v>2648</v>
      </c>
      <c r="B198" s="7" t="s">
        <v>116</v>
      </c>
      <c r="C198" s="7" t="s">
        <v>985</v>
      </c>
      <c r="D198" s="7" t="s">
        <v>78</v>
      </c>
      <c r="E198" s="7" t="s">
        <v>2649</v>
      </c>
      <c r="F198" s="7" t="s">
        <v>2651</v>
      </c>
      <c r="G198" s="7" t="s">
        <v>85</v>
      </c>
      <c r="H198" s="7" t="s">
        <v>105</v>
      </c>
      <c r="I198" s="7" t="s">
        <v>87</v>
      </c>
      <c r="J198" s="7"/>
      <c r="K198" s="7"/>
      <c r="L198" s="7" t="s">
        <v>88</v>
      </c>
      <c r="M198" s="7" t="s">
        <v>988</v>
      </c>
      <c r="N198" s="7" t="s">
        <v>109</v>
      </c>
      <c r="O198" s="7" t="s">
        <v>2654</v>
      </c>
      <c r="P198" s="7"/>
      <c r="Q198" s="8" t="s">
        <v>2655</v>
      </c>
      <c r="R198" s="7"/>
      <c r="S198" s="7"/>
    </row>
    <row r="199" customFormat="false" ht="23.85" hidden="false" customHeight="false" outlineLevel="0" collapsed="false">
      <c r="A199" s="7" t="s">
        <v>2656</v>
      </c>
      <c r="B199" s="7" t="s">
        <v>116</v>
      </c>
      <c r="C199" s="7" t="s">
        <v>985</v>
      </c>
      <c r="D199" s="7" t="s">
        <v>78</v>
      </c>
      <c r="E199" s="7" t="s">
        <v>2657</v>
      </c>
      <c r="F199" s="7" t="s">
        <v>2651</v>
      </c>
      <c r="G199" s="7" t="s">
        <v>85</v>
      </c>
      <c r="H199" s="7" t="s">
        <v>105</v>
      </c>
      <c r="I199" s="7" t="s">
        <v>87</v>
      </c>
      <c r="J199" s="7"/>
      <c r="K199" s="7"/>
      <c r="L199" s="7" t="s">
        <v>88</v>
      </c>
      <c r="M199" s="7" t="s">
        <v>988</v>
      </c>
      <c r="N199" s="7" t="s">
        <v>92</v>
      </c>
      <c r="O199" s="7"/>
      <c r="P199" s="7"/>
      <c r="Q199" s="8" t="s">
        <v>2660</v>
      </c>
      <c r="R199" s="7" t="s">
        <v>2662</v>
      </c>
      <c r="S199" s="7"/>
    </row>
    <row r="200" customFormat="false" ht="23.85" hidden="false" customHeight="false" outlineLevel="0" collapsed="false">
      <c r="A200" s="7" t="s">
        <v>2683</v>
      </c>
      <c r="B200" s="7" t="s">
        <v>116</v>
      </c>
      <c r="C200" s="7" t="s">
        <v>985</v>
      </c>
      <c r="D200" s="7" t="s">
        <v>78</v>
      </c>
      <c r="E200" s="7" t="s">
        <v>2684</v>
      </c>
      <c r="F200" s="7" t="s">
        <v>2686</v>
      </c>
      <c r="G200" s="7" t="s">
        <v>85</v>
      </c>
      <c r="H200" s="7" t="s">
        <v>2688</v>
      </c>
      <c r="I200" s="7" t="s">
        <v>87</v>
      </c>
      <c r="J200" s="7"/>
      <c r="K200" s="7"/>
      <c r="L200" s="7" t="s">
        <v>88</v>
      </c>
      <c r="M200" s="7" t="s">
        <v>988</v>
      </c>
      <c r="N200" s="7" t="s">
        <v>92</v>
      </c>
      <c r="O200" s="7"/>
      <c r="P200" s="7"/>
      <c r="Q200" s="8" t="s">
        <v>2690</v>
      </c>
      <c r="R200" s="7" t="s">
        <v>2691</v>
      </c>
      <c r="S200" s="7"/>
    </row>
  </sheetData>
  <autoFilter ref="A1:S200"/>
  <conditionalFormatting sqref="A2:S200">
    <cfRule type="expression" priority="2" aboveAverage="0" equalAverage="0" bottom="0" percent="0" rank="0" text="" dxfId="8">
      <formula>$B2="A"</formula>
    </cfRule>
  </conditionalFormatting>
  <hyperlinks>
    <hyperlink ref="Q3" r:id="rId1" display="https://www.instagram.com/coffeebond/"/>
    <hyperlink ref="Q4" r:id="rId2" display="https://www.timeout.com/mumbai/news/boojee-cafe-is-opening-a-new-outlet-at-one-bkc-in-mumbai-082026"/>
    <hyperlink ref="Q5" r:id="rId3" display="https://www.instagram.com/cafeserenity_pune/"/>
    <hyperlink ref="Q7" r:id="rId4" display="https://www.restaurantindia.in/news/restaurant-india-news-coffee-capital-launches-in-mumbai-with-34-cover-speciality-caf-format.n15399"/>
    <hyperlink ref="Q8" r:id="rId5" display="https://foodiesofindia.wordpress.com/2026/03/01/new-restaurants-in-mumbai-march-2026-round-up-25-new-openings/"/>
    <hyperlink ref="Q9" r:id="rId6" display="https://foodiesofindia.wordpress.com/2026/08/04/new-restaurants-cafes-in-mumbai-august-2026/"/>
    <hyperlink ref="Q10" r:id="rId7" display="https://www.restaurantindia.in/news/aspect-hospitality-expands-fb-portfolio-with-joker-in-bandra.n16905"/>
    <hyperlink ref="Q11" r:id="rId8" display="https://foodiesofindia.wordpress.com/2026/01/15/january-2026-30-new-restaurants-cafes-in-mumbai-you-need-to-check-out/"/>
    <hyperlink ref="Q12" r:id="rId9" display="https://foodiesofindia.wordpress.com/2026/08/04/new-restaurants-cafes-in-mumbai-august-2026/"/>
    <hyperlink ref="Q13" r:id="rId10" display="https://foodiesofindia.wordpress.com/2026/04/02/20-new-restaurants-in-mumbai-to-check-out-april-2026/"/>
    <hyperlink ref="Q14" r:id="rId11" display="https://indianretailer.com/news/stand-coffee-expands-mumbai-footprint-new-juhu-outlet"/>
    <hyperlink ref="Q15" r:id="rId12" display="https://www.restaurantindia.in/news/thought-coffee-opens-bandra-flagship-as-mumbai-quick-service-coffee-market-expands.n17296"/>
    <hyperlink ref="Q16" r:id="rId13" display="https://foodiesofindia.wordpress.com/2026/06/01/june-2026-new-restaurants-in-mumbai-you-need-to-visit/"/>
    <hyperlink ref="Q17" r:id="rId14" display="https://yourstory.com/ys-life/the-second-house-goa-lento-cafe"/>
    <hyperlink ref="Q18" r:id="rId15" display="https://www.restaurantindia.in/news/momoka-opens-japanese-kissaten-inspired-caf-on-punes-prabhat-road.n16884"/>
    <hyperlink ref="Q19" r:id="rId16" display="https://www.district.in/blog/speciality-coffee-cafes-goa"/>
    <hyperlink ref="Q20" r:id="rId17" display="https://www.instagram.com/moreovercoffee_india/"/>
    <hyperlink ref="Q21" r:id="rId18" display="https://www.restaurantindia.in/news/carbon-opens-third-caf-in-jaipur-with-new-vaishali-nagar-outlet.n16924"/>
    <hyperlink ref="Q22" r:id="rId19" display="https://thenodmag.com/content/jacobs-brew-house-jaipur-cafe-coffee-house-review"/>
    <hyperlink ref="Q23" r:id="rId20" display="https://www.outlooktraveller.com/ot-pours/traut-coffee-house-opens-doors-as-jaipurs-newest-coffee-hotspot"/>
    <hyperlink ref="Q24" r:id="rId21" display="https://www.thelabmagofficial.com/new-restaurants-cafes-and-bars-to-try-across-india-this-september/"/>
    <hyperlink ref="Q25" r:id="rId22" display="https://thenodmag.com/content/the-drop-hauz-khas-delhi-indian-specialty-coffee-roastery-review"/>
    <hyperlink ref="Q26" r:id="rId23" display="https://thenodmag.com/content/where-to-eat-this-june-in-delhi-ncr"/>
    <hyperlink ref="Q27" r:id="rId24" display="https://www.outlooktraveller.com/ot-pours/drop-in-at-the-drop-and-find-your-jaws-dropped"/>
    <hyperlink ref="Q28" r:id="rId25" display="https://www.outlooktraveller.com/ot-pours"/>
    <hyperlink ref="Q29" r:id="rId26" display="https://thenodmag.com/content/new-restaurants-bars-menus-delhi-may-2026"/>
    <hyperlink ref="Q30" r:id="rId27" display="https://www.restaurantindia.in/news/oro-opens-flagship-specialty-coffee-caf-in-gurugram.n17284"/>
    <hyperlink ref="Q31" r:id="rId28" display="https://www.knocksense.com/lucknow/5-new-coffee-spots-in-lucknow-worth-adding-to-your-caf%C3%A9-hopping-list"/>
    <hyperlink ref="Q32" r:id="rId29" display="https://www.knocksense.com/lucknow/5-new-coffee-spots-in-lucknow-worth-adding-to-your-caf%C3%A9-hopping-list"/>
    <hyperlink ref="Q33" r:id="rId30" display="https://t2online.in/goodlife/food-beverage/flameback-cafe---kitchen-is-where-global-flavours-pair-up-with-world-coffee--t2-checked-it-out/2001719"/>
    <hyperlink ref="Q34" r:id="rId31" display="https://www.restaurantindia.in/news/restaurant-india-news-brev-opens-new-flagship-caf-in-bandra-expands-community-focused-coffee-concept.n16397"/>
    <hyperlink ref="Q35" r:id="rId32" display="https://aninews.in/news/business/harsh-kedia-and-arihant-jain-launch-cocoa-amp-katli-a-caf233-that-redefines-mindful-indulgence-for-the-conscious-mumbaikar20261021121947/"/>
    <hyperlink ref="Q36" r:id="rId33" display="https://www.restaurantindia.in/news/restaurant-india-news-javaphile-caf-opens-in-worli-mumbai.n14931"/>
    <hyperlink ref="Q37" r:id="rId34" display="https://foodiesofindia.wordpress.com/2026/04/02/20-new-restaurants-in-mumbai-to-check-out-april-2026/"/>
    <hyperlink ref="Q38" r:id="rId35" display="https://indianretailer.com/news/rola-opens-new-all-day-diner-bandra"/>
    <hyperlink ref="Q39" r:id="rId36" display="https://oteats.outlooktraveller.com/features/guides/jaipur-is-entering-its-coffee-smart-era-and-these-spots-prove-it"/>
    <hyperlink ref="Q40" r:id="rId37" display="https://www.oteats.outlooktraveller.com/features/guides/delhis-newest-openings-that-you-must-look-out-for-this-february"/>
    <hyperlink ref="Q41" r:id="rId38" display="https://www.thelabmagofficial.com/new-tables-for-october-the-delhi-ncr-restaurants-cafes-and-bars-to-try/"/>
    <hyperlink ref="Q42" r:id="rId39" display="https://www.thelabmagofficial.com/new-restaurants-cafes-and-bars-to-try-across-india-this-september/"/>
    <hyperlink ref="Q43" r:id="rId40" display="https://www.restaurantindia.in/news/restaurant-india-news-kokoy-launches-caf-in-gurugram-enters-premium-all-day-dining-segment.n14880"/>
    <hyperlink ref="Q44" r:id="rId41" display="https://www.thelabmagofficial.com/new-tables-for-october-the-delhi-ncr-restaurants-cafes-and-bars-to-try/"/>
    <hyperlink ref="Q45" r:id="rId42" display="https://www.knocksense.com/lucknow/5-new-coffee-spots-in-lucknow-worth-adding-to-your-caf%C3%A9-hopping-list"/>
    <hyperlink ref="Q46" r:id="rId43" display="https://realtynmore.com/batter-bar-coffee-cafe-at-cp67-mohali/"/>
    <hyperlink ref="Q47" r:id="rId44" display="https://www.instagram.com/brewhaus.ranchi/"/>
    <hyperlink ref="Q48" r:id="rId45" display="https://www.indianretailer.com/news/cafe-quattro-opens-second-mumbai-cafe-mumbai"/>
    <hyperlink ref="Q49" r:id="rId46" display="https://www.mansworldindia.com/lifestyle/mw-restaurant-update-every-place-you-need-to-check-out-in-mumbai-right-now"/>
    <hyperlink ref="Q50" r:id="rId47" display="https://foodiesofindia.wordpress.com/2026/01/15/january-2026-30-new-restaurants-cafes-in-mumbai-you-need-to-check-out/"/>
    <hyperlink ref="Q51" r:id="rId48" display="https://www.esquireindia.co.in/food-and-drinks/what-to-eat/from-rola-to-the-mahjong-club-9-new-restaurants-and-caf%C3%A9s-in-mumbai-to-try-this-september"/>
    <hyperlink ref="Q52" r:id="rId49" display="https://foodiesofindia.wordpress.com/2026/02/01/february-2026-new-restaurants-in-mumbai-you-need-to-try/"/>
    <hyperlink ref="Q53" r:id="rId50" display="https://www.restaurantindia.in/news/notfar-opens-in-bandra-with-specialty-cookies-cupcakes-and-coffee.n16686"/>
    <hyperlink ref="Q54" r:id="rId51" display="https://foodiesofindia.wordpress.com/2026/06/01/june-2026-new-restaurants-in-mumbai-you-need-to-visit/"/>
    <hyperlink ref="Q55" r:id="rId52" display="https://www.thestylelist.in/post/new-restaurants-cafes-bars-india"/>
    <hyperlink ref="Q56" r:id="rId53" display="https://foodiesofindia.wordpress.com/tag/new-restaurants-in-mumbai/"/>
    <hyperlink ref="Q57" r:id="rId54" display="https://www.esquireindia.co.in/food-and-drinks/what-to-eat/from-rola-to-the-mahjong-club-9-new-restaurants-and-caf%C3%A9s-in-mumbai-to-try-this-september"/>
    <hyperlink ref="Q58" r:id="rId55" display="https://www.thestylelist.in/post/new-restaurants-cafes-bars-india"/>
    <hyperlink ref="Q59" r:id="rId56" display="https://www.restaurantindia.in/news/vanilla-miel-opens-second-mumbai-caf-at-lodha-signet-lower-parel.n17346"/>
    <hyperlink ref="Q60" r:id="rId57" display="https://crushcoffee.vercel.app/"/>
    <hyperlink ref="Q61" r:id="rId58" display="https://www.restaurantindia.in/news/restaurant-india-news-aami-caf-bistro-opens-its-doors-in-candolim-goa.n16290"/>
    <hyperlink ref="Q62" r:id="rId59" display="https://travellerscoop.com/must-try-new-restaurants-in-goa-openings/"/>
    <hyperlink ref="Q63" r:id="rId60" display="https://oteats.outlooktraveller.com/features/guides/jaipur-is-entering-its-coffee-smart-era-and-these-spots-prove-it"/>
    <hyperlink ref="Q64" r:id="rId61" display="https://www.thelabmagofficial.com/best-new-restaurants-cafes-bars-in-india-to-visit-in-august-2026/"/>
    <hyperlink ref="Q65" r:id="rId62" display="https://www.worldcoffeeportal.com/news/indias-fes-cafe-appoints-former-blue-tokai-executive-following-1m-fundraise/"/>
    <hyperlink ref="Q66" r:id="rId63" display="https://www.thelabmagofficial.com/new-tables-for-october-the-delhi-ncr-restaurants-cafes-and-bars-to-try/"/>
    <hyperlink ref="Q67" r:id="rId64" display="https://lbb.in/delhi/best-restaurants-cafes-delhi/"/>
    <hyperlink ref="Q68" r:id="rId65" display="https://indianretailer.com/news/butterhands-makes-delhi-ncr-debut-flagship-store-saket"/>
    <hyperlink ref="Q69" r:id="rId66" display="https://www.knocksense.com/lucknow/5-new-coffee-spots-in-lucknow-worth-adding-to-your-caf%C3%A9-hopping-list"/>
    <hyperlink ref="Q70" r:id="rId67" display="https://zipbiz.in/hidden-cafes-chandigarh-mohali/"/>
    <hyperlink ref="Q71" r:id="rId68" display="https://foodiesofindia.wordpress.com/2025/11/03/25-new-restaurants-cafes-in-mumbai-you-need-to-try-this-november-2025/"/>
    <hyperlink ref="Q72" r:id="rId69" display="https://foodiesofindia.wordpress.com/2025/10/01/25-new-restaurants-cafes-to-check-out-in-mumbai-this-october-2025/"/>
    <hyperlink ref="Q73" r:id="rId70" display="https://www.instagram.com/linzz.csn/"/>
    <hyperlink ref="Q74" r:id="rId71" display="https://www.localspecialtycoffee.com/cities/specialty-coffee-mumbai/single-origin"/>
    <hyperlink ref="Q75" r:id="rId72" display="https://www.glassdoor.co.in/Job/mumbai-barista-jobs-SRCH_IL.0,6_IC2851180_KO7,14.htm"/>
    <hyperlink ref="Q76" r:id="rId73" display="https://www.instagram.com/mazicoffee/"/>
    <hyperlink ref="Q77" r:id="rId74" display="https://www.district.in/blog/speciality-coffee-spots-mumbai"/>
    <hyperlink ref="Q78" r:id="rId75" display="https://www.restaurantindia.in/news/bastian-hospitality-enters-coffee-space-with-blondie.n12554"/>
    <hyperlink ref="Q79" r:id="rId76" display="https://mumbaicoffeecollective.com/pages/specialty-coffee-mumbai"/>
    <hyperlink ref="Q80" r:id="rId77" display="https://www.instagram.com/sheltercafe.mumbai/"/>
    <hyperlink ref="Q81" r:id="rId78" display="https://www.instagram.com/thebrewcafemumbai/"/>
    <hyperlink ref="Q82" r:id="rId79" display="https://www.instagram.com/bokkacoffeemumbai/"/>
    <hyperlink ref="Q83" r:id="rId80" display="https://www.nagpurtoday.in/best-cafes-in-nagpur-2026-our-independent-ranking-based-on-reviews-coffee-quality-ambience-customer-experience/"/>
    <hyperlink ref="Q84" r:id="rId81" display="https://www.instagram.com/oros_india/"/>
    <hyperlink ref="Q85" r:id="rId82" display="https://www.nagpurtoday.in/best-cafes-in-nagpur-2026-our-independent-ranking-based-on-reviews-coffee-quality-ambience-customer-experience/"/>
    <hyperlink ref="Q86" r:id="rId83" display="https://rokazu.com/coffee-shops-in-nagpur-india/"/>
    <hyperlink ref="Q87" r:id="rId84" display="https://www.instagram.com/brewincafe_nagpur/"/>
    <hyperlink ref="Q88" r:id="rId85" display="https://www.instagram.com/coffeebooco/"/>
    <hyperlink ref="Q89" r:id="rId86" display="https://www.instagram.com/pilgrimcoffee.in/"/>
    <hyperlink ref="Q90" r:id="rId87" display="https://navimumbaihub.com/best-cafes-navi-mumbai/"/>
    <hyperlink ref="Q91" r:id="rId88" display="https://www.instagram.com/panachespecialtycoffee/"/>
    <hyperlink ref="Q92" r:id="rId89" display="https://curlytales.com/punes-bustling-cafe-culture-gets-a-new-chic-coffee-place-one-world-the-coffee-studio/amp/"/>
    <hyperlink ref="Q93" r:id="rId90" display="https://www.instagram.com/bookbarpune/"/>
    <hyperlink ref="Q94" r:id="rId91" display="https://echai.ventures/grid/pune/caffeowl-coffee"/>
    <hyperlink ref="Q95" r:id="rId92" display="https://www.yukio.in/blog/best-coffee-places-in-pune/"/>
    <hyperlink ref="Q96" r:id="rId93" display="https://coffeegearguides.com/cafes/best-coffee-shops-in-pune"/>
    <hyperlink ref="Q97" r:id="rId94" display="https://coffeegearguides.com/cafes/best-coffee-shops-in-pune"/>
    <hyperlink ref="Q98" r:id="rId95" display="https://www.instagram.com/tham.coffee/"/>
    <hyperlink ref="Q99" r:id="rId96" display="https://lbb.in/delhi/best-coffee-places-pune"/>
    <hyperlink ref="Q100" r:id="rId97" display="https://www.instagram.com/mainline.coffee/"/>
    <hyperlink ref="Q101" r:id="rId98" display="https://theappbarista.com/blog/best-cafes-ahmedabad"/>
    <hyperlink ref="Q102" r:id="rId99" display="https://www.instagram.com/z27coffeebarahmedabad/"/>
    <hyperlink ref="Q103" r:id="rId100" display="https://theappbarista.com/blog/best-cafes-ahmedabad"/>
    <hyperlink ref="Q104" r:id="rId101" display="https://theappbarista.com/blog/best-cafes-ahmedabad"/>
    <hyperlink ref="Q105" r:id="rId102" display="https://knocksense.com/ahmedabad/coffee-chronicles-mleko-cafes-enchanting-presence-in-ahmedabad-is-winning-over-hearts"/>
    <hyperlink ref="Q106" r:id="rId103" display="https://www.district.in/blog/everyday-cafes-ahmedabad"/>
    <hyperlink ref="Q107" r:id="rId104" display="https://www.instagram.com/caffotto.rajkot/"/>
    <hyperlink ref="Q108" r:id="rId105" display="https://kupi.com/en/explore/india/rajkot/dough-and-doppio"/>
    <hyperlink ref="Q109" r:id="rId106" display="https://www.instagram.com/bbcafe.surat/"/>
    <hyperlink ref="Q110" r:id="rId107" display="https://perfectdailygrind.com/2019/03/a-specialty-coffee-shop-tour-of-gujarat-rajasthan/"/>
    <hyperlink ref="Q111" r:id="rId108" display="https://www.instagram.com/40feet_coffee/"/>
    <hyperlink ref="Q112" r:id="rId109" display="https://travelroach.com/ultimate-guide-best-cafes-surat/"/>
    <hyperlink ref="Q113" r:id="rId110" display="https://www.pulled.coffee/shop/enso-coffee-surat"/>
    <hyperlink ref="Q114" r:id="rId111" display="https://www.pulled.coffee/shop/livestream-coffee-vesu-surat"/>
    <hyperlink ref="Q115" r:id="rId112" display="https://www.pulled.coffee/shop/lower-ground-coffee-surat-2"/>
    <hyperlink ref="Q116" r:id="rId113" display="https://www.pulled.coffee/shop/moonstruck-coffee-surat-2"/>
    <hyperlink ref="Q117" r:id="rId114" display="https://www.pulled.coffee/shop/nothing-before-coffee-sns-arista-vesu-surat-surat-2"/>
    <hyperlink ref="Q118" r:id="rId115" display="https://echai.ventures/grid/surat/the-flat-white-coffee-house"/>
    <hyperlink ref="Q119" r:id="rId116" display="https://echai.ventures/surat/cafes/across-surat"/>
    <hyperlink ref="Q120" r:id="rId117" display="https://www.instagram.com/801coffee/"/>
    <hyperlink ref="Q121" r:id="rId118" display="https://www.instagram.com/cafepulp__/"/>
    <hyperlink ref="Q122" r:id="rId119" display="https://travelroach.com/ultimate-guide-best-cafes-surat/"/>
    <hyperlink ref="Q123" r:id="rId120" display="https://www.instagram.com/brewito.coffee/"/>
    <hyperlink ref="Q124" r:id="rId121" display="https://magicpin.in/Vadodara/Alkapuri/Restaurant/Curators-Coffee/store/636b96"/>
    <hyperlink ref="Q125" r:id="rId122" display="https://www.kuberproperty.in/blog/top-10-cafes-in-vadodara-2026"/>
    <hyperlink ref="Q126" r:id="rId123" display="https://www.instagram.com/_coffeeyard_/"/>
    <hyperlink ref="Q127" r:id="rId124" display="https://www.instagram.com/babka.goa/"/>
    <hyperlink ref="Q128" r:id="rId125" display="https://www.stayvista.com/blog/best-cafes-in-anjuna-goa-2026-offbeat-and-work-friendly-spots/"/>
    <hyperlink ref="Q129" r:id="rId126" display="https://www.stayvista.com/blog/best-cafes-in-anjuna-goa-2026-offbeat-and-work-friendly-spots/"/>
    <hyperlink ref="Q130" r:id="rId127" display="https://www.tripadvisor.in/Restaurants-g12412672-c8-South_Goa_District_Goa.html"/>
    <hyperlink ref="Q131" r:id="rId128" display="https://www.instagram.com/rubyscoffee_goa/"/>
    <hyperlink ref="Q132" r:id="rId129" display="https://www.tripadvisor.in/Restaurants-g12412672-zfg9900-South_Goa_District_Goa.html"/>
    <hyperlink ref="Q133" r:id="rId130" display="https://www.district.in/blog/speciality-coffee-cafes-goa"/>
    <hyperlink ref="Q134" r:id="rId131" display="https://www.eazydiner.com/goa/asro-cafe-food-lab-porvorim-north-goa-694932/reviews"/>
    <hyperlink ref="Q135" r:id="rId132" display="https://www.instagram.com/rubyscoffee_goa/"/>
    <hyperlink ref="Q136" r:id="rId133" display="https://www.eazydiner.com/goa/cafe-robusta-porvorim-porvorim-north-goa-691965"/>
    <hyperlink ref="Q137" r:id="rId134" display="https://www.eazydiner.com/goa/joeys-porvorim-north-goa-696527"/>
    <hyperlink ref="Q138" r:id="rId135" display="https://yourstory.com/ys-life/the-second-house-goa-lento-cafe"/>
    <hyperlink ref="Q139" r:id="rId136" display="https://baristamagazine.com/exploring-the-vibrant-specialty-coffee-culture-of-goa-india"/>
    <hyperlink ref="Q140" r:id="rId137" display="https://rokazu.com/coffee-shops-in-bhopal-india/"/>
    <hyperlink ref="Q141" r:id="rId138" display="https://www.instagram.com/coffeio.in/"/>
    <hyperlink ref="Q142" r:id="rId139" display="https://bhopaltop10.vercel.app/bhopal/cafes/"/>
    <hyperlink ref="Q143" r:id="rId140" display="https://www.dripcospecialitycoffeebrewers.com/blog"/>
    <hyperlink ref="Q144" r:id="rId141" display="https://www.instagram.com/cavacafee/"/>
    <hyperlink ref="Q145" r:id="rId142" display="https://www.instagram.com/absolutecoffeebrewers/"/>
    <hyperlink ref="Q146" r:id="rId143" display="https://www.instagram.com/beansnbunjaipur/"/>
    <hyperlink ref="Q147" r:id="rId144" display="https://www.instagram.com/thelittlecoffeeshopjaipur/"/>
    <hyperlink ref="Q148" r:id="rId145" display="https://www.instagram.com/cafeearnest/"/>
    <hyperlink ref="Q149" r:id="rId146" display="https://www.instagram.com/towncoffeejaipur/"/>
    <hyperlink ref="Q150" r:id="rId147" display="https://explorejodhpur.com/best-coffee-spots-in-jodhpur/"/>
    <hyperlink ref="Q151" r:id="rId148" display="https://www.shoppingbazar.in/specialty-coffee-udaipur-third-wave-cafes/"/>
    <hyperlink ref="Q152" r:id="rId149" display="https://www.instagram.com/coffeegramdelhi/"/>
    <hyperlink ref="Q153" r:id="rId150" display="https://www.timeout.com/delhi/restaurants/the-best-coffee-shops-in-delhi"/>
    <hyperlink ref="Q154" r:id="rId151" display="https://brewatlas.co/delhi/cafes"/>
    <hyperlink ref="Q155" r:id="rId152" display="https://www.corner.inc/place/p7HpPpxdEgHr?listId=4337c3ac-f3b8-49aa-8482-a6b94a6b2110"/>
    <hyperlink ref="Q156" r:id="rId153" display="https://brewatlas.co/delhi/cafes"/>
    <hyperlink ref="Q157" r:id="rId154" display="https://brewatlas.co/delhi/cafes/food"/>
    <hyperlink ref="Q158" r:id="rId155" display="https://www.tribuneindia.com/news/business/sip-the-new-trend-5-must-visit-premium-coffee-cafes-in-delhi-ncr-2026/"/>
    <hyperlink ref="Q159" r:id="rId156" display="https://wanderhoods.com/best-cafes-in-faridabad-5-must-visit-coffee-spots/"/>
    <hyperlink ref="Q160" r:id="rId157" display="https://www.instagram.com/1000percentcoffee/"/>
    <hyperlink ref="Q161" r:id="rId158" display="https://www.instagram.com/figatmgroad/"/>
    <hyperlink ref="Q162" r:id="rId159" display="https://www.district.in/blog/specialty-coffee-cafes-chandigarh"/>
    <hyperlink ref="Q163" r:id="rId160" display="https://wanderon.in/blogs/best-cafes-in-kanpur"/>
    <hyperlink ref="Q164" r:id="rId161" display="https://sidewalkindia.com/"/>
    <hyperlink ref="Q165" r:id="rId162" display="https://overflowcoffee.in/"/>
    <hyperlink ref="Q166" r:id="rId163" display="https://www.knocksense.com/lucknow/ditch-the-old-cafes-lucknows-newest-chacoco-is-brewing-something-specialheres-why-youll-love-it/"/>
    <hyperlink ref="Q167" r:id="rId164" display="https://www.instagram.com/philtrecoindia/"/>
    <hyperlink ref="Q168" r:id="rId165" display="https://www.instagram.com/baske.lucknow/"/>
    <hyperlink ref="Q169" r:id="rId166" display="https://www.district.in/blog/specialty-coffee-noida"/>
    <hyperlink ref="Q170" r:id="rId167" display="https://www.district.in/blog/specialty-coffee-noida"/>
    <hyperlink ref="Q171" r:id="rId168" display="https://www.instagram.com/thehavennoida/"/>
    <hyperlink ref="Q172" r:id="rId169" display="https://www.pinaak.co/discover/varanasi-cafes-restaurants"/>
    <hyperlink ref="Q173" r:id="rId170" display="https://www.instagram.com/greko.espresso/"/>
    <hyperlink ref="Q174" r:id="rId171" display="https://www.instagram.com/wht.blk.coffeehouse/"/>
    <hyperlink ref="Q175" r:id="rId172" display="https://restaurant-guru.in/cafe-Ludhiana-t6"/>
    <hyperlink ref="Q176" r:id="rId173" display="https://www.dinediary.in/2026/03/best-cafes-in-ludhiana.html?m=1"/>
    <hyperlink ref="Q177" r:id="rId174" display="https://www.explurger.com/pd/p5kv9l6q6vjy8n2cx"/>
    <hyperlink ref="Q178" r:id="rId175" display="https://www.dinediary.in/2026/03/best-cafes-in-ludhiana.html?m=1"/>
    <hyperlink ref="Q179" r:id="rId176" display="https://www.district.in/dining/chandigarh/pull-and-pour-speciality-coffee-sector-67-mohali"/>
    <hyperlink ref="Q180" r:id="rId177" display="https://refuje.com/blog/best-cafes-himachal-pradesh-every-town"/>
    <hyperlink ref="Q181" r:id="rId178" display="https://himlocal.com/blog/cafes-in-manali"/>
    <hyperlink ref="Q182" r:id="rId179" display="https://dharamshalaguide.com/cafes-in-mcleodganj/"/>
    <hyperlink ref="Q183" r:id="rId180" display="https://aristella.in/cafe-in-mussoorie-road-dehradun"/>
    <hyperlink ref="Q184" r:id="rId181" display="https://www.baliyogaschool.com/10-best-cafes-in-rishikesh-for-food-vibe-and-best-working-space/"/>
    <hyperlink ref="Q185" r:id="rId182" display="https://wanderlog.com/list/geoCategory/291116"/>
    <hyperlink ref="Q186" r:id="rId183" display="https://t2online.in/goodlife/food-beverage/t2-gets-you-the-first-look-of-kulture-specialty-coffee-bistro-the-new-dine-den-in-town/1462233"/>
    <hyperlink ref="Q187" r:id="rId184" display="https://www.artsyinkolkata.com/"/>
    <hyperlink ref="Q188" r:id="rId185" display="https://www.instagram.com/colabcoffeecalcutta/"/>
    <hyperlink ref="Q189" r:id="rId186" display="https://www.instagram.com/cafecaptainamericano/"/>
    <hyperlink ref="Q190" r:id="rId187" display="https://www.instagram.com/amaricoffeenewtown/"/>
    <hyperlink ref="Q191" r:id="rId188" display="https://www.cosmopolitan.in/life/features/story/forget-your-usual-cappuccino-these-are-the-coffee-orders-worth-switching-things-up-for-1436793-2026-08-13"/>
    <hyperlink ref="Q192" r:id="rId189" display="https://www.instagram.com/lineupcoffee_newtown/"/>
    <hyperlink ref="Q193" r:id="rId190" display="https://yappe.in/assam/guwahati/coffee-shop"/>
    <hyperlink ref="Q194" r:id="rId191" display="https://yappe.in/assam/guwahati/coffee-shop"/>
    <hyperlink ref="Q195" r:id="rId192" display="https://eastmojo.com/lifestyle/2020/08/31/black-art-coffee-in-guwahati-celebrating-art-one-cup-at-a-time/"/>
    <hyperlink ref="Q196" r:id="rId193" display="https://curlytales.com/rajkummar-rao-spotted-at-a-cosy-shillong-cafe-its-specialty-coffee-is-worth-a-trip-to-meghalaya/"/>
    <hyperlink ref="Q197" r:id="rId194" display="https://xtsy.one/cafes-in-shillong"/>
    <hyperlink ref="Q198" r:id="rId195" display="https://www.instagram.com/bisaunigangtok/"/>
    <hyperlink ref="Q199" r:id="rId196" display="https://travelsetu.com/apps/blog/coffee-culture-in-gangtok-best-cafes-to-visit"/>
    <hyperlink ref="Q200" r:id="rId197" display="https://oddessemania.in/best-cafes-in-aizaw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2"/>
    <col collapsed="false" customWidth="true" hidden="false" outlineLevel="0" max="3" min="3" style="0" width="16"/>
    <col collapsed="false" customWidth="true" hidden="false" outlineLevel="0" max="4" min="4" style="0" width="18"/>
    <col collapsed="false" customWidth="true" hidden="false" outlineLevel="0" max="5" min="5" style="0" width="60"/>
    <col collapsed="false" customWidth="true" hidden="false" outlineLevel="0" max="6" min="6" style="0" width="50"/>
  </cols>
  <sheetData>
    <row r="1" customFormat="false" ht="30" hidden="false" customHeight="true" outlineLevel="0" collapsed="false">
      <c r="A1" s="6" t="s">
        <v>54</v>
      </c>
      <c r="B1" s="6" t="s">
        <v>2723</v>
      </c>
      <c r="C1" s="6" t="s">
        <v>50</v>
      </c>
      <c r="D1" s="6" t="s">
        <v>44</v>
      </c>
      <c r="E1" s="6" t="s">
        <v>53</v>
      </c>
      <c r="F1" s="6" t="s">
        <v>70</v>
      </c>
    </row>
    <row r="2" customFormat="false" ht="23.85" hidden="false" customHeight="false" outlineLevel="0" collapsed="false">
      <c r="A2" s="7" t="s">
        <v>1056</v>
      </c>
      <c r="B2" s="7" t="s">
        <v>1053</v>
      </c>
      <c r="C2" s="7" t="s">
        <v>119</v>
      </c>
      <c r="D2" s="7" t="s">
        <v>985</v>
      </c>
      <c r="E2" s="7" t="s">
        <v>1055</v>
      </c>
      <c r="F2" s="8" t="s">
        <v>1062</v>
      </c>
    </row>
    <row r="3" customFormat="false" ht="15" hidden="false" customHeight="false" outlineLevel="0" collapsed="false">
      <c r="A3" s="7" t="s">
        <v>2152</v>
      </c>
      <c r="B3" s="7" t="s">
        <v>2148</v>
      </c>
      <c r="C3" s="7" t="s">
        <v>2149</v>
      </c>
      <c r="D3" s="7" t="s">
        <v>985</v>
      </c>
      <c r="E3" s="7" t="s">
        <v>2151</v>
      </c>
      <c r="F3" s="8" t="s">
        <v>2158</v>
      </c>
    </row>
    <row r="4" customFormat="false" ht="23.85" hidden="false" customHeight="false" outlineLevel="0" collapsed="false">
      <c r="A4" s="7" t="s">
        <v>2168</v>
      </c>
      <c r="B4" s="7" t="s">
        <v>2164</v>
      </c>
      <c r="C4" s="7" t="s">
        <v>460</v>
      </c>
      <c r="D4" s="7" t="s">
        <v>985</v>
      </c>
      <c r="E4" s="7" t="s">
        <v>2167</v>
      </c>
      <c r="F4" s="8" t="s">
        <v>2176</v>
      </c>
    </row>
    <row r="5" customFormat="false" ht="23.85" hidden="false" customHeight="false" outlineLevel="0" collapsed="false">
      <c r="A5" s="7" t="s">
        <v>1608</v>
      </c>
      <c r="B5" s="7" t="s">
        <v>1606</v>
      </c>
      <c r="C5" s="7" t="s">
        <v>1578</v>
      </c>
      <c r="D5" s="7" t="s">
        <v>985</v>
      </c>
      <c r="E5" s="7" t="s">
        <v>105</v>
      </c>
      <c r="F5" s="8" t="s">
        <v>1612</v>
      </c>
    </row>
    <row r="6" customFormat="false" ht="15" hidden="false" customHeight="false" outlineLevel="0" collapsed="false">
      <c r="A6" s="7" t="s">
        <v>2255</v>
      </c>
      <c r="B6" s="7" t="s">
        <v>2251</v>
      </c>
      <c r="C6" s="7" t="s">
        <v>2252</v>
      </c>
      <c r="D6" s="7" t="s">
        <v>985</v>
      </c>
      <c r="E6" s="7" t="s">
        <v>2254</v>
      </c>
      <c r="F6" s="8" t="s">
        <v>2261</v>
      </c>
    </row>
    <row r="7" customFormat="false" ht="15" hidden="false" customHeight="false" outlineLevel="0" collapsed="false">
      <c r="A7" s="7" t="s">
        <v>1399</v>
      </c>
      <c r="B7" s="7" t="s">
        <v>1397</v>
      </c>
      <c r="C7" s="7" t="s">
        <v>888</v>
      </c>
      <c r="D7" s="7" t="s">
        <v>985</v>
      </c>
      <c r="E7" s="7" t="s">
        <v>105</v>
      </c>
      <c r="F7" s="8" t="s">
        <v>1404</v>
      </c>
    </row>
    <row r="8" customFormat="false" ht="23.85" hidden="false" customHeight="false" outlineLevel="0" collapsed="false">
      <c r="A8" s="7" t="s">
        <v>2465</v>
      </c>
      <c r="B8" s="7" t="s">
        <v>2462</v>
      </c>
      <c r="C8" s="7" t="s">
        <v>474</v>
      </c>
      <c r="D8" s="7" t="s">
        <v>985</v>
      </c>
      <c r="E8" s="7" t="s">
        <v>2464</v>
      </c>
      <c r="F8" s="8" t="s">
        <v>2468</v>
      </c>
    </row>
    <row r="9" customFormat="false" ht="15" hidden="false" customHeight="false" outlineLevel="0" collapsed="false">
      <c r="A9" s="7" t="s">
        <v>293</v>
      </c>
      <c r="B9" s="7" t="s">
        <v>288</v>
      </c>
      <c r="C9" s="7" t="s">
        <v>290</v>
      </c>
      <c r="D9" s="7" t="s">
        <v>141</v>
      </c>
      <c r="E9" s="7" t="s">
        <v>292</v>
      </c>
      <c r="F9" s="8" t="s">
        <v>301</v>
      </c>
    </row>
    <row r="10" customFormat="false" ht="23.85" hidden="false" customHeight="false" outlineLevel="0" collapsed="false">
      <c r="A10" s="7" t="s">
        <v>432</v>
      </c>
      <c r="B10" s="7" t="s">
        <v>427</v>
      </c>
      <c r="C10" s="7" t="s">
        <v>429</v>
      </c>
      <c r="D10" s="7" t="s">
        <v>141</v>
      </c>
      <c r="E10" s="7" t="s">
        <v>431</v>
      </c>
      <c r="F10" s="8" t="s">
        <v>442</v>
      </c>
    </row>
    <row r="11" customFormat="false" ht="35.05" hidden="false" customHeight="false" outlineLevel="0" collapsed="false">
      <c r="A11" s="7" t="s">
        <v>1067</v>
      </c>
      <c r="B11" s="7" t="s">
        <v>1064</v>
      </c>
      <c r="C11" s="7" t="s">
        <v>119</v>
      </c>
      <c r="D11" s="7" t="s">
        <v>985</v>
      </c>
      <c r="E11" s="7" t="s">
        <v>1066</v>
      </c>
      <c r="F11" s="8" t="s">
        <v>1074</v>
      </c>
    </row>
    <row r="12" customFormat="false" ht="15" hidden="false" customHeight="false" outlineLevel="0" collapsed="false">
      <c r="A12" s="7" t="s">
        <v>1162</v>
      </c>
      <c r="B12" s="7" t="s">
        <v>1160</v>
      </c>
      <c r="C12" s="7" t="s">
        <v>866</v>
      </c>
      <c r="D12" s="7" t="s">
        <v>985</v>
      </c>
      <c r="E12" s="7" t="s">
        <v>105</v>
      </c>
      <c r="F12" s="8" t="s">
        <v>1168</v>
      </c>
    </row>
    <row r="13" customFormat="false" ht="23.85" hidden="false" customHeight="false" outlineLevel="0" collapsed="false">
      <c r="A13" s="7" t="s">
        <v>645</v>
      </c>
      <c r="B13" s="7" t="s">
        <v>643</v>
      </c>
      <c r="C13" s="7" t="s">
        <v>119</v>
      </c>
      <c r="D13" s="7" t="s">
        <v>141</v>
      </c>
      <c r="E13" s="7" t="s">
        <v>644</v>
      </c>
      <c r="F13" s="8" t="s">
        <v>650</v>
      </c>
    </row>
    <row r="14" customFormat="false" ht="23.85" hidden="false" customHeight="false" outlineLevel="0" collapsed="false">
      <c r="A14" s="7" t="s">
        <v>1708</v>
      </c>
      <c r="B14" s="7" t="s">
        <v>1705</v>
      </c>
      <c r="C14" s="7" t="s">
        <v>732</v>
      </c>
      <c r="D14" s="7" t="s">
        <v>985</v>
      </c>
      <c r="E14" s="7" t="s">
        <v>1707</v>
      </c>
      <c r="F14" s="8" t="s">
        <v>301</v>
      </c>
    </row>
    <row r="15" customFormat="false" ht="35.05" hidden="false" customHeight="false" outlineLevel="0" collapsed="false">
      <c r="A15" s="7" t="s">
        <v>406</v>
      </c>
      <c r="B15" s="7" t="s">
        <v>402</v>
      </c>
      <c r="C15" s="7" t="s">
        <v>103</v>
      </c>
      <c r="D15" s="7" t="s">
        <v>141</v>
      </c>
      <c r="E15" s="7" t="s">
        <v>405</v>
      </c>
      <c r="F15" s="8" t="s">
        <v>415</v>
      </c>
    </row>
    <row r="16" customFormat="false" ht="23.85" hidden="false" customHeight="false" outlineLevel="0" collapsed="false">
      <c r="A16" s="7" t="s">
        <v>1629</v>
      </c>
      <c r="B16" s="7" t="s">
        <v>1626</v>
      </c>
      <c r="C16" s="7" t="s">
        <v>1627</v>
      </c>
      <c r="D16" s="7" t="s">
        <v>985</v>
      </c>
      <c r="E16" s="7" t="s">
        <v>1628</v>
      </c>
      <c r="F16" s="8" t="s">
        <v>1636</v>
      </c>
    </row>
    <row r="17" customFormat="false" ht="23.85" hidden="false" customHeight="false" outlineLevel="0" collapsed="false">
      <c r="A17" s="7" t="s">
        <v>1441</v>
      </c>
      <c r="B17" s="7" t="s">
        <v>1438</v>
      </c>
      <c r="C17" s="7" t="s">
        <v>888</v>
      </c>
      <c r="D17" s="7" t="s">
        <v>985</v>
      </c>
      <c r="E17" s="7" t="s">
        <v>1440</v>
      </c>
      <c r="F17" s="8" t="s">
        <v>1447</v>
      </c>
    </row>
    <row r="18" customFormat="false" ht="23.85" hidden="false" customHeight="false" outlineLevel="0" collapsed="false">
      <c r="A18" s="7" t="s">
        <v>1217</v>
      </c>
      <c r="B18" s="7" t="s">
        <v>1212</v>
      </c>
      <c r="C18" s="7" t="s">
        <v>1214</v>
      </c>
      <c r="D18" s="7" t="s">
        <v>985</v>
      </c>
      <c r="E18" s="7" t="s">
        <v>1216</v>
      </c>
      <c r="F18" s="8" t="s">
        <v>1224</v>
      </c>
    </row>
    <row r="19" customFormat="false" ht="15" hidden="false" customHeight="false" outlineLevel="0" collapsed="false">
      <c r="A19" s="7" t="s">
        <v>1387</v>
      </c>
      <c r="B19" s="7" t="s">
        <v>1384</v>
      </c>
      <c r="C19" s="7" t="s">
        <v>888</v>
      </c>
      <c r="D19" s="7" t="s">
        <v>985</v>
      </c>
      <c r="E19" s="7" t="s">
        <v>1386</v>
      </c>
      <c r="F19" s="8" t="s">
        <v>1392</v>
      </c>
    </row>
    <row r="20" customFormat="false" ht="15" hidden="false" customHeight="false" outlineLevel="0" collapsed="false">
      <c r="A20" s="7" t="s">
        <v>1387</v>
      </c>
      <c r="B20" s="7" t="s">
        <v>2434</v>
      </c>
      <c r="C20" s="7" t="s">
        <v>143</v>
      </c>
      <c r="D20" s="7" t="s">
        <v>985</v>
      </c>
      <c r="E20" s="7" t="s">
        <v>105</v>
      </c>
      <c r="F20" s="8" t="s">
        <v>2440</v>
      </c>
    </row>
    <row r="21" customFormat="false" ht="15" hidden="false" customHeight="false" outlineLevel="0" collapsed="false">
      <c r="A21" s="7" t="s">
        <v>1766</v>
      </c>
      <c r="B21" s="7" t="s">
        <v>1761</v>
      </c>
      <c r="C21" s="7" t="s">
        <v>1763</v>
      </c>
      <c r="D21" s="7" t="s">
        <v>985</v>
      </c>
      <c r="E21" s="7" t="s">
        <v>1765</v>
      </c>
      <c r="F21" s="8" t="s">
        <v>1776</v>
      </c>
    </row>
    <row r="22" customFormat="false" ht="23.85" hidden="false" customHeight="false" outlineLevel="0" collapsed="false">
      <c r="A22" s="7" t="s">
        <v>1260</v>
      </c>
      <c r="B22" s="7" t="s">
        <v>1257</v>
      </c>
      <c r="C22" s="7" t="s">
        <v>83</v>
      </c>
      <c r="D22" s="7" t="s">
        <v>985</v>
      </c>
      <c r="E22" s="7" t="s">
        <v>1259</v>
      </c>
      <c r="F22" s="8" t="s">
        <v>1269</v>
      </c>
    </row>
    <row r="23" customFormat="false" ht="46.25" hidden="false" customHeight="false" outlineLevel="0" collapsed="false">
      <c r="A23" s="7" t="s">
        <v>2613</v>
      </c>
      <c r="B23" s="7" t="s">
        <v>2610</v>
      </c>
      <c r="C23" s="7" t="s">
        <v>948</v>
      </c>
      <c r="D23" s="7" t="s">
        <v>985</v>
      </c>
      <c r="E23" s="7" t="s">
        <v>2612</v>
      </c>
      <c r="F23" s="8" t="s">
        <v>2620</v>
      </c>
    </row>
    <row r="24" customFormat="false" ht="46.25" hidden="false" customHeight="false" outlineLevel="0" collapsed="false">
      <c r="A24" s="7" t="s">
        <v>703</v>
      </c>
      <c r="B24" s="7" t="s">
        <v>700</v>
      </c>
      <c r="C24" s="7" t="s">
        <v>119</v>
      </c>
      <c r="D24" s="7" t="s">
        <v>141</v>
      </c>
      <c r="E24" s="7" t="s">
        <v>702</v>
      </c>
      <c r="F24" s="8" t="s">
        <v>709</v>
      </c>
    </row>
    <row r="25" customFormat="false" ht="23.85" hidden="false" customHeight="false" outlineLevel="0" collapsed="false">
      <c r="A25" s="7" t="s">
        <v>1751</v>
      </c>
      <c r="B25" s="7" t="s">
        <v>1748</v>
      </c>
      <c r="C25" s="7" t="s">
        <v>1749</v>
      </c>
      <c r="D25" s="7" t="s">
        <v>985</v>
      </c>
      <c r="E25" s="7" t="s">
        <v>1750</v>
      </c>
      <c r="F25" s="8" t="s">
        <v>1758</v>
      </c>
    </row>
    <row r="26" customFormat="false" ht="23.85" hidden="false" customHeight="false" outlineLevel="0" collapsed="false">
      <c r="A26" s="7" t="s">
        <v>1189</v>
      </c>
      <c r="B26" s="7" t="s">
        <v>1185</v>
      </c>
      <c r="C26" s="7" t="s">
        <v>866</v>
      </c>
      <c r="D26" s="7" t="s">
        <v>985</v>
      </c>
      <c r="E26" s="7" t="s">
        <v>1188</v>
      </c>
      <c r="F26" s="8" t="s">
        <v>1193</v>
      </c>
    </row>
    <row r="27" customFormat="false" ht="23.85" hidden="false" customHeight="false" outlineLevel="0" collapsed="false">
      <c r="A27" s="7" t="s">
        <v>2478</v>
      </c>
      <c r="B27" s="7" t="s">
        <v>2475</v>
      </c>
      <c r="C27" s="7" t="s">
        <v>474</v>
      </c>
      <c r="D27" s="7" t="s">
        <v>985</v>
      </c>
      <c r="E27" s="7" t="s">
        <v>2477</v>
      </c>
      <c r="F27" s="8" t="s">
        <v>2481</v>
      </c>
    </row>
    <row r="28" customFormat="false" ht="23.85" hidden="false" customHeight="false" outlineLevel="0" collapsed="false">
      <c r="A28" s="7" t="s">
        <v>1496</v>
      </c>
      <c r="B28" s="7" t="s">
        <v>1493</v>
      </c>
      <c r="C28" s="7" t="s">
        <v>1487</v>
      </c>
      <c r="D28" s="7" t="s">
        <v>985</v>
      </c>
      <c r="E28" s="7" t="s">
        <v>1495</v>
      </c>
      <c r="F28" s="8" t="s">
        <v>1505</v>
      </c>
    </row>
    <row r="29" customFormat="false" ht="15" hidden="false" customHeight="false" outlineLevel="0" collapsed="false">
      <c r="A29" s="7" t="s">
        <v>122</v>
      </c>
      <c r="B29" s="7" t="s">
        <v>2538</v>
      </c>
      <c r="C29" s="7" t="s">
        <v>474</v>
      </c>
      <c r="D29" s="7" t="s">
        <v>985</v>
      </c>
      <c r="E29" s="7" t="s">
        <v>2541</v>
      </c>
      <c r="F29" s="8" t="s">
        <v>2549</v>
      </c>
    </row>
    <row r="30" customFormat="false" ht="23.85" hidden="false" customHeight="false" outlineLevel="0" collapsed="false">
      <c r="A30" s="7" t="s">
        <v>122</v>
      </c>
      <c r="B30" s="7" t="s">
        <v>117</v>
      </c>
      <c r="C30" s="7" t="s">
        <v>119</v>
      </c>
      <c r="D30" s="7" t="s">
        <v>77</v>
      </c>
      <c r="E30" s="7" t="s">
        <v>105</v>
      </c>
      <c r="F30" s="8" t="s">
        <v>127</v>
      </c>
    </row>
    <row r="31" customFormat="false" ht="23.85" hidden="false" customHeight="false" outlineLevel="0" collapsed="false">
      <c r="A31" s="7" t="s">
        <v>122</v>
      </c>
      <c r="B31" s="7" t="s">
        <v>1655</v>
      </c>
      <c r="C31" s="7" t="s">
        <v>290</v>
      </c>
      <c r="D31" s="7" t="s">
        <v>985</v>
      </c>
      <c r="E31" s="7" t="s">
        <v>1657</v>
      </c>
      <c r="F31" s="8" t="s">
        <v>1663</v>
      </c>
    </row>
    <row r="32" customFormat="false" ht="23.85" hidden="false" customHeight="false" outlineLevel="0" collapsed="false">
      <c r="A32" s="7" t="s">
        <v>122</v>
      </c>
      <c r="B32" s="7" t="s">
        <v>1889</v>
      </c>
      <c r="C32" s="7" t="s">
        <v>1890</v>
      </c>
      <c r="D32" s="7" t="s">
        <v>985</v>
      </c>
      <c r="E32" s="7" t="s">
        <v>1893</v>
      </c>
      <c r="F32" s="8" t="s">
        <v>1901</v>
      </c>
    </row>
    <row r="33" customFormat="false" ht="23.85" hidden="false" customHeight="false" outlineLevel="0" collapsed="false">
      <c r="A33" s="7" t="s">
        <v>122</v>
      </c>
      <c r="B33" s="7" t="s">
        <v>2082</v>
      </c>
      <c r="C33" s="7" t="s">
        <v>103</v>
      </c>
      <c r="D33" s="7" t="s">
        <v>985</v>
      </c>
      <c r="E33" s="7" t="s">
        <v>2084</v>
      </c>
      <c r="F33" s="8" t="s">
        <v>2054</v>
      </c>
    </row>
    <row r="34" customFormat="false" ht="15" hidden="false" customHeight="false" outlineLevel="0" collapsed="false">
      <c r="A34" s="7" t="s">
        <v>122</v>
      </c>
      <c r="B34" s="7" t="s">
        <v>976</v>
      </c>
      <c r="C34" s="7" t="s">
        <v>888</v>
      </c>
      <c r="D34" s="7" t="s">
        <v>955</v>
      </c>
      <c r="E34" s="7" t="s">
        <v>105</v>
      </c>
      <c r="F34" s="8" t="s">
        <v>981</v>
      </c>
    </row>
    <row r="35" customFormat="false" ht="15" hidden="false" customHeight="false" outlineLevel="0" collapsed="false">
      <c r="A35" s="7" t="s">
        <v>122</v>
      </c>
      <c r="B35" s="7" t="s">
        <v>1958</v>
      </c>
      <c r="C35" s="7" t="s">
        <v>319</v>
      </c>
      <c r="D35" s="7" t="s">
        <v>985</v>
      </c>
      <c r="E35" s="7" t="s">
        <v>105</v>
      </c>
      <c r="F35" s="8" t="s">
        <v>1963</v>
      </c>
    </row>
    <row r="36" customFormat="false" ht="23.85" hidden="false" customHeight="false" outlineLevel="0" collapsed="false">
      <c r="A36" s="7" t="s">
        <v>122</v>
      </c>
      <c r="B36" s="7" t="s">
        <v>2523</v>
      </c>
      <c r="C36" s="7" t="s">
        <v>474</v>
      </c>
      <c r="D36" s="7" t="s">
        <v>985</v>
      </c>
      <c r="E36" s="7" t="s">
        <v>2526</v>
      </c>
      <c r="F36" s="8" t="s">
        <v>2531</v>
      </c>
    </row>
    <row r="37" customFormat="false" ht="15" hidden="false" customHeight="false" outlineLevel="0" collapsed="false">
      <c r="A37" s="7" t="s">
        <v>940</v>
      </c>
      <c r="B37" s="7" t="s">
        <v>937</v>
      </c>
      <c r="C37" s="7" t="s">
        <v>474</v>
      </c>
      <c r="D37" s="7" t="s">
        <v>141</v>
      </c>
      <c r="E37" s="7" t="s">
        <v>105</v>
      </c>
      <c r="F37" s="8" t="s">
        <v>942</v>
      </c>
    </row>
    <row r="38" customFormat="false" ht="23.85" hidden="false" customHeight="false" outlineLevel="0" collapsed="false">
      <c r="A38" s="7" t="s">
        <v>816</v>
      </c>
      <c r="B38" s="7" t="s">
        <v>812</v>
      </c>
      <c r="C38" s="7" t="s">
        <v>119</v>
      </c>
      <c r="D38" s="7" t="s">
        <v>141</v>
      </c>
      <c r="E38" s="7" t="s">
        <v>815</v>
      </c>
      <c r="F38" s="8" t="s">
        <v>821</v>
      </c>
    </row>
    <row r="39" customFormat="false" ht="15" hidden="false" customHeight="false" outlineLevel="0" collapsed="false">
      <c r="A39" s="7" t="s">
        <v>2401</v>
      </c>
      <c r="B39" s="7" t="s">
        <v>2398</v>
      </c>
      <c r="C39" s="7" t="s">
        <v>2389</v>
      </c>
      <c r="D39" s="7" t="s">
        <v>985</v>
      </c>
      <c r="E39" s="7" t="s">
        <v>105</v>
      </c>
      <c r="F39" s="8" t="s">
        <v>2403</v>
      </c>
    </row>
    <row r="40" customFormat="false" ht="23.85" hidden="false" customHeight="false" outlineLevel="0" collapsed="false">
      <c r="A40" s="7" t="s">
        <v>237</v>
      </c>
      <c r="B40" s="7" t="s">
        <v>234</v>
      </c>
      <c r="C40" s="7" t="s">
        <v>119</v>
      </c>
      <c r="D40" s="7" t="s">
        <v>141</v>
      </c>
      <c r="E40" s="7" t="s">
        <v>236</v>
      </c>
      <c r="F40" s="8" t="s">
        <v>244</v>
      </c>
    </row>
    <row r="41" customFormat="false" ht="23.85" hidden="false" customHeight="false" outlineLevel="0" collapsed="false">
      <c r="A41" s="7" t="s">
        <v>2567</v>
      </c>
      <c r="B41" s="7" t="s">
        <v>2561</v>
      </c>
      <c r="C41" s="7" t="s">
        <v>2563</v>
      </c>
      <c r="D41" s="7" t="s">
        <v>985</v>
      </c>
      <c r="E41" s="7" t="s">
        <v>2566</v>
      </c>
      <c r="F41" s="8" t="s">
        <v>2572</v>
      </c>
    </row>
    <row r="42" customFormat="false" ht="23.85" hidden="false" customHeight="false" outlineLevel="0" collapsed="false">
      <c r="A42" s="7" t="s">
        <v>2184</v>
      </c>
      <c r="B42" s="7" t="s">
        <v>2181</v>
      </c>
      <c r="C42" s="7" t="s">
        <v>460</v>
      </c>
      <c r="D42" s="7" t="s">
        <v>985</v>
      </c>
      <c r="E42" s="7" t="s">
        <v>2183</v>
      </c>
      <c r="F42" s="8" t="s">
        <v>2188</v>
      </c>
    </row>
    <row r="43" customFormat="false" ht="15" hidden="false" customHeight="false" outlineLevel="0" collapsed="false">
      <c r="A43" s="7" t="s">
        <v>1677</v>
      </c>
      <c r="B43" s="7" t="s">
        <v>1724</v>
      </c>
      <c r="C43" s="7" t="s">
        <v>1718</v>
      </c>
      <c r="D43" s="7" t="s">
        <v>985</v>
      </c>
      <c r="E43" s="7" t="s">
        <v>1676</v>
      </c>
      <c r="F43" s="8" t="s">
        <v>1680</v>
      </c>
    </row>
    <row r="44" customFormat="false" ht="15" hidden="false" customHeight="false" outlineLevel="0" collapsed="false">
      <c r="A44" s="7" t="s">
        <v>1677</v>
      </c>
      <c r="B44" s="7" t="s">
        <v>1675</v>
      </c>
      <c r="C44" s="7" t="s">
        <v>726</v>
      </c>
      <c r="D44" s="7" t="s">
        <v>985</v>
      </c>
      <c r="E44" s="7" t="s">
        <v>1676</v>
      </c>
      <c r="F44" s="8" t="s">
        <v>1680</v>
      </c>
    </row>
    <row r="45" customFormat="false" ht="15" hidden="false" customHeight="false" outlineLevel="0" collapsed="false">
      <c r="A45" s="7" t="s">
        <v>260</v>
      </c>
      <c r="B45" s="7" t="s">
        <v>1741</v>
      </c>
      <c r="C45" s="7" t="s">
        <v>1742</v>
      </c>
      <c r="D45" s="7" t="s">
        <v>985</v>
      </c>
      <c r="E45" s="7" t="s">
        <v>1743</v>
      </c>
      <c r="F45" s="8" t="s">
        <v>269</v>
      </c>
    </row>
    <row r="46" customFormat="false" ht="23.85" hidden="false" customHeight="false" outlineLevel="0" collapsed="false">
      <c r="A46" s="7" t="s">
        <v>260</v>
      </c>
      <c r="B46" s="7" t="s">
        <v>256</v>
      </c>
      <c r="C46" s="7" t="s">
        <v>83</v>
      </c>
      <c r="D46" s="7" t="s">
        <v>141</v>
      </c>
      <c r="E46" s="7" t="s">
        <v>259</v>
      </c>
      <c r="F46" s="8" t="s">
        <v>269</v>
      </c>
    </row>
    <row r="47" customFormat="false" ht="23.85" hidden="false" customHeight="false" outlineLevel="0" collapsed="false">
      <c r="A47" s="7" t="s">
        <v>679</v>
      </c>
      <c r="B47" s="7" t="s">
        <v>676</v>
      </c>
      <c r="C47" s="7" t="s">
        <v>119</v>
      </c>
      <c r="D47" s="7" t="s">
        <v>141</v>
      </c>
      <c r="E47" s="7" t="s">
        <v>678</v>
      </c>
      <c r="F47" s="8" t="s">
        <v>683</v>
      </c>
    </row>
    <row r="48" customFormat="false" ht="15" hidden="false" customHeight="false" outlineLevel="0" collapsed="false">
      <c r="A48" s="7" t="s">
        <v>1421</v>
      </c>
      <c r="B48" s="7" t="s">
        <v>1418</v>
      </c>
      <c r="C48" s="7" t="s">
        <v>888</v>
      </c>
      <c r="D48" s="7" t="s">
        <v>985</v>
      </c>
      <c r="E48" s="7" t="s">
        <v>1420</v>
      </c>
      <c r="F48" s="8" t="s">
        <v>1404</v>
      </c>
    </row>
    <row r="49" customFormat="false" ht="23.85" hidden="false" customHeight="false" outlineLevel="0" collapsed="false">
      <c r="A49" s="7" t="s">
        <v>1683</v>
      </c>
      <c r="B49" s="7" t="s">
        <v>1682</v>
      </c>
      <c r="C49" s="7" t="s">
        <v>726</v>
      </c>
      <c r="D49" s="7" t="s">
        <v>985</v>
      </c>
      <c r="E49" s="7" t="s">
        <v>105</v>
      </c>
      <c r="F49" s="8" t="s">
        <v>1685</v>
      </c>
    </row>
    <row r="50" customFormat="false" ht="23.85" hidden="false" customHeight="false" outlineLevel="0" collapsed="false">
      <c r="A50" s="7" t="s">
        <v>891</v>
      </c>
      <c r="B50" s="7" t="s">
        <v>886</v>
      </c>
      <c r="C50" s="7" t="s">
        <v>888</v>
      </c>
      <c r="D50" s="7" t="s">
        <v>141</v>
      </c>
      <c r="E50" s="7" t="s">
        <v>890</v>
      </c>
      <c r="F50" s="8" t="s">
        <v>894</v>
      </c>
    </row>
    <row r="51" customFormat="false" ht="23.85" hidden="false" customHeight="false" outlineLevel="0" collapsed="false">
      <c r="A51" s="7" t="s">
        <v>220</v>
      </c>
      <c r="B51" s="7" t="s">
        <v>216</v>
      </c>
      <c r="C51" s="7" t="s">
        <v>119</v>
      </c>
      <c r="D51" s="7" t="s">
        <v>141</v>
      </c>
      <c r="E51" s="7" t="s">
        <v>219</v>
      </c>
      <c r="F51" s="8" t="s">
        <v>230</v>
      </c>
    </row>
  </sheetData>
  <autoFilter ref="A1:F51"/>
  <hyperlinks>
    <hyperlink ref="F2" r:id="rId1" display="https://www.instagram.com/mazicoffee/"/>
    <hyperlink ref="F3" r:id="rId2" display="https://sidewalkindia.com/"/>
    <hyperlink ref="F4" r:id="rId3" display="https://overflowcoffee.in/"/>
    <hyperlink ref="F5" r:id="rId4" display="https://www.instagram.com/_coffeeyard_/"/>
    <hyperlink ref="F6" r:id="rId5" display="https://www.instagram.com/cafemeraki.prayagraj/"/>
    <hyperlink ref="F7" r:id="rId6" display="https://theappbarista.com/blog/best-cafes-ahmedabad"/>
    <hyperlink ref="F8" r:id="rId7" display="https://www.artsyinkolkata.com/"/>
    <hyperlink ref="F9" r:id="rId8" display="https://www.district.in/blog/speciality-coffee-cafes-goa"/>
    <hyperlink ref="F10" r:id="rId9" display="https://thenodmag.com/content/new-restaurants-bars-menus-delhi-may-2026"/>
    <hyperlink ref="F11" r:id="rId10" display="https://www.district.in/blog/speciality-coffee-spots-mumbai"/>
    <hyperlink ref="F12" r:id="rId11" display="https://www.nagpurtoday.in/best-cafes-in-nagpur-2026-our-independent-ranking-based-on-reviews-coffee-quality-ambience-customer-experience/"/>
    <hyperlink ref="F13" r:id="rId12" display="https://www.restaurantindia.in/news/notfar-opens-in-bandra-with-specialty-cookies-cupcakes-and-coffee.n16686"/>
    <hyperlink ref="F14" r:id="rId13" display="https://www.district.in/blog/speciality-coffee-cafes-goa"/>
    <hyperlink ref="F15" r:id="rId14" display="https://www.outlooktraveller.com/ot-pours/drop-in-at-the-drop-and-find-your-jaws-dropped"/>
    <hyperlink ref="F16" r:id="rId15" display="https://www.instagram.com/babka.goa/"/>
    <hyperlink ref="F17" r:id="rId16" display="https://knocksense.com/ahmedabad/coffee-chronicles-mleko-cafes-enchanting-presence-in-ahmedabad-is-winning-over-hearts"/>
    <hyperlink ref="F18" r:id="rId17" display="https://www.instagram.com/pilgrimcoffee.in/"/>
    <hyperlink ref="F19" r:id="rId18" display="https://www.instagram.com/mainline.coffee/"/>
    <hyperlink ref="F20" r:id="rId19" display="https://www.instagram.com/specialtycoffeehouseindia/"/>
    <hyperlink ref="F21" r:id="rId20" display="https://rokazu.com/coffee-shops-in-bhopal-india/"/>
    <hyperlink ref="F22" r:id="rId21" display="https://curlytales.com/punes-bustling-cafe-culture-gets-a-new-chic-coffee-place-one-world-the-coffee-studio/amp/"/>
    <hyperlink ref="F23" r:id="rId22" display="https://eastmojo.com/lifestyle/2020/08/31/black-art-coffee-in-guwahati-celebrating-art-one-cup-at-a-time/"/>
    <hyperlink ref="F24" r:id="rId23" display="https://www.restaurantindia.in/news/vanilla-miel-opens-second-mumbai-caf-at-lodha-signet-lower-parel.n17346"/>
    <hyperlink ref="F25" r:id="rId24" display="https://baristamagazine.com/exploring-the-vibrant-specialty-coffee-culture-of-goa-india"/>
    <hyperlink ref="F26" r:id="rId25" display="https://rokazu.com/coffee-shops-in-nagpur-india/"/>
    <hyperlink ref="F27" r:id="rId26" display="https://www.instagram.com/colabcoffeecalcutta/"/>
    <hyperlink ref="F28" r:id="rId27" display="https://perfectdailygrind.com/2019/03/a-specialty-coffee-shop-tour-of-gujarat-rajasthan/"/>
    <hyperlink ref="F29" r:id="rId28" display="https://t2online.in/goodlife/food-beverage/8th-day-caf----bakery-brews-big-in-new-town-with-its-fifth-kolkata-outlet/2003182"/>
    <hyperlink ref="F30" r:id="rId29" display="https://www.timeout.com/mumbai/news/boojee-cafe-is-opening-a-new-outlet-at-one-bkc-in-mumbai-082026"/>
    <hyperlink ref="F31" r:id="rId30" display="https://www.restaurantindia.in/news/restaurant-india-news-coffee-culture-enters-hospitality-with-unseen-world-s-first-coffee-focused.n14245"/>
    <hyperlink ref="F32" r:id="rId31" display="https://wanderlog.com/place/details/10602229/the-highbrooks-cafe"/>
    <hyperlink ref="F33" r:id="rId32" display="https://brewatlas.co/delhi/cafes/food"/>
    <hyperlink ref="F34" r:id="rId33" display="https://curlytales.com/india/food/cafe-hoppers-rejoice-gujarats-biggest-cafe-komo-by-kaffa-opens-in-ahmedabad/"/>
    <hyperlink ref="F35" r:id="rId34" display="https://www.district.in/blog/specialty-coffee-jaipur"/>
    <hyperlink ref="F36" r:id="rId35" display="https://www.picokolkata.com/"/>
    <hyperlink ref="F37" r:id="rId36" display="https://t2online.in/goodlife/food-beverage/whizz-coffee-from-craft-coffee-box-is-brewing-a-new-sip-culture-where-artisanal-cups-meet-affordable-prices/2008421"/>
    <hyperlink ref="F38" r:id="rId37" display="https://www.timeout.com/mumbai/news/angry-toast-bandras-new-sandwich-shop-has-its-own-coffee-roastery-071626"/>
    <hyperlink ref="F39" r:id="rId38" display="https://farzicafedehradun.com/best-cafe-in-dehradun.html"/>
    <hyperlink ref="F40" r:id="rId39" display="https://www.restaurantindia.in/news/thought-coffee-opens-bandra-flagship-as-mumbai-quick-service-coffee-market-expands.n17296"/>
    <hyperlink ref="F41" r:id="rId40" display="https://restaurant-guru.in/cafe-Bhubaneswar-t6"/>
    <hyperlink ref="F42" r:id="rId41" display="https://www.knocksense.com/lucknow/ditch-the-old-cafes-lucknows-newest-chacoco-is-brewing-something-specialheres-why-youll-love-it/"/>
    <hyperlink ref="F43" r:id="rId42" display="https://www.instagram.com/rubyscoffee_goa/"/>
    <hyperlink ref="F44" r:id="rId43" display="https://www.instagram.com/rubyscoffee_goa/"/>
    <hyperlink ref="F45" r:id="rId44" display="https://yourstory.com/ys-life/the-second-house-goa-lento-cafe"/>
    <hyperlink ref="F46" r:id="rId45" display="https://yourstory.com/ys-life/the-second-house-goa-lento-cafe"/>
    <hyperlink ref="F47" r:id="rId46" display="https://foodiesofindia.wordpress.com/tag/new-restaurants-in-mumbai/"/>
    <hyperlink ref="F48" r:id="rId47" display="https://theappbarista.com/blog/best-cafes-ahmedabad"/>
    <hyperlink ref="F49" r:id="rId48" display="https://www.restaurantindia.in/news/novotel-goa-candolim-unveils-the-little-place-cafe.n12067"/>
    <hyperlink ref="F50" r:id="rId49" display="https://www.knocksense.com/ahmedabad/9-new-restaurants-in-ahmedabad-bringing-fresh-flavours-to-the-table"/>
    <hyperlink ref="F51" r:id="rId50" display="https://indianretailer.com/news/stand-coffee-expands-mumbai-footprint-new-juhu-outl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4" min="3" style="0" width="30"/>
    <col collapsed="false" customWidth="true" hidden="false" outlineLevel="0" max="5" min="5" style="0" width="36"/>
    <col collapsed="false" customWidth="true" hidden="false" outlineLevel="0" max="6" min="6" style="0" width="70"/>
    <col collapsed="false" customWidth="true" hidden="false" outlineLevel="0" max="7" min="7" style="0" width="45"/>
  </cols>
  <sheetData>
    <row r="1" customFormat="false" ht="30" hidden="false" customHeight="true" outlineLevel="0" collapsed="false">
      <c r="A1" s="6" t="s">
        <v>2723</v>
      </c>
      <c r="B1" s="6" t="s">
        <v>50</v>
      </c>
      <c r="C1" s="6" t="s">
        <v>2724</v>
      </c>
      <c r="D1" s="6" t="s">
        <v>2725</v>
      </c>
      <c r="E1" s="6" t="s">
        <v>2726</v>
      </c>
      <c r="F1" s="6" t="s">
        <v>2727</v>
      </c>
      <c r="G1" s="6" t="s">
        <v>2728</v>
      </c>
    </row>
    <row r="2" customFormat="false" ht="23.85" hidden="false" customHeight="false" outlineLevel="0" collapsed="false">
      <c r="A2" s="7" t="s">
        <v>2462</v>
      </c>
      <c r="B2" s="7" t="s">
        <v>474</v>
      </c>
      <c r="C2" s="7" t="s">
        <v>2729</v>
      </c>
      <c r="D2" s="7" t="s">
        <v>2730</v>
      </c>
      <c r="E2" s="7" t="s">
        <v>2731</v>
      </c>
      <c r="F2" s="7" t="s">
        <v>2732</v>
      </c>
      <c r="G2" s="8" t="s">
        <v>2468</v>
      </c>
    </row>
    <row r="3" customFormat="false" ht="35.05" hidden="false" customHeight="false" outlineLevel="0" collapsed="false">
      <c r="A3" s="7" t="s">
        <v>2462</v>
      </c>
      <c r="B3" s="7" t="s">
        <v>474</v>
      </c>
      <c r="C3" s="7" t="s">
        <v>2729</v>
      </c>
      <c r="D3" s="7" t="s">
        <v>2733</v>
      </c>
      <c r="E3" s="7" t="s">
        <v>2731</v>
      </c>
      <c r="F3" s="7" t="s">
        <v>2734</v>
      </c>
      <c r="G3" s="8" t="s">
        <v>2735</v>
      </c>
    </row>
    <row r="4" customFormat="false" ht="23.85" hidden="false" customHeight="false" outlineLevel="0" collapsed="false">
      <c r="A4" s="7" t="s">
        <v>2462</v>
      </c>
      <c r="B4" s="7" t="s">
        <v>474</v>
      </c>
      <c r="C4" s="7" t="s">
        <v>2736</v>
      </c>
      <c r="D4" s="7" t="s">
        <v>2730</v>
      </c>
      <c r="E4" s="7" t="s">
        <v>2737</v>
      </c>
      <c r="F4" s="7" t="s">
        <v>2738</v>
      </c>
      <c r="G4" s="8" t="s">
        <v>2468</v>
      </c>
    </row>
    <row r="5" customFormat="false" ht="35.05" hidden="false" customHeight="false" outlineLevel="0" collapsed="false">
      <c r="A5" s="7" t="s">
        <v>2462</v>
      </c>
      <c r="B5" s="7" t="s">
        <v>474</v>
      </c>
      <c r="C5" s="7" t="s">
        <v>2736</v>
      </c>
      <c r="D5" s="7" t="s">
        <v>2733</v>
      </c>
      <c r="E5" s="7" t="s">
        <v>2737</v>
      </c>
      <c r="F5" s="7" t="s">
        <v>2739</v>
      </c>
      <c r="G5" s="8" t="s">
        <v>2735</v>
      </c>
    </row>
    <row r="6" customFormat="false" ht="35.05" hidden="false" customHeight="false" outlineLevel="0" collapsed="false">
      <c r="A6" s="7" t="s">
        <v>1418</v>
      </c>
      <c r="B6" s="7" t="s">
        <v>888</v>
      </c>
      <c r="C6" s="7" t="s">
        <v>2740</v>
      </c>
      <c r="D6" s="7" t="s">
        <v>2733</v>
      </c>
      <c r="E6" s="7" t="s">
        <v>2741</v>
      </c>
      <c r="F6" s="7" t="s">
        <v>2742</v>
      </c>
      <c r="G6" s="8" t="s">
        <v>2743</v>
      </c>
    </row>
    <row r="7" customFormat="false" ht="35.05" hidden="false" customHeight="false" outlineLevel="0" collapsed="false">
      <c r="A7" s="7" t="s">
        <v>117</v>
      </c>
      <c r="B7" s="7" t="s">
        <v>119</v>
      </c>
      <c r="C7" s="7" t="s">
        <v>2744</v>
      </c>
      <c r="D7" s="7" t="s">
        <v>2733</v>
      </c>
      <c r="E7" s="7" t="s">
        <v>2745</v>
      </c>
      <c r="F7" s="7" t="s">
        <v>2746</v>
      </c>
      <c r="G7" s="8" t="s">
        <v>2747</v>
      </c>
    </row>
    <row r="8" customFormat="false" ht="35.05" hidden="false" customHeight="false" outlineLevel="0" collapsed="false">
      <c r="A8" s="7" t="s">
        <v>1160</v>
      </c>
      <c r="B8" s="7" t="s">
        <v>866</v>
      </c>
      <c r="C8" s="7" t="s">
        <v>1162</v>
      </c>
      <c r="D8" s="7" t="s">
        <v>2733</v>
      </c>
      <c r="E8" s="7" t="s">
        <v>2748</v>
      </c>
      <c r="F8" s="7" t="s">
        <v>2749</v>
      </c>
      <c r="G8" s="8" t="s">
        <v>2750</v>
      </c>
    </row>
    <row r="9" customFormat="false" ht="35.05" hidden="false" customHeight="false" outlineLevel="0" collapsed="false">
      <c r="A9" s="7" t="s">
        <v>2030</v>
      </c>
      <c r="B9" s="7" t="s">
        <v>103</v>
      </c>
      <c r="C9" s="7" t="s">
        <v>2751</v>
      </c>
      <c r="D9" s="7" t="s">
        <v>2730</v>
      </c>
      <c r="E9" s="7" t="s">
        <v>2752</v>
      </c>
      <c r="F9" s="7" t="s">
        <v>2753</v>
      </c>
      <c r="G9" s="8" t="s">
        <v>2754</v>
      </c>
    </row>
    <row r="10" customFormat="false" ht="35.05" hidden="false" customHeight="false" outlineLevel="0" collapsed="false">
      <c r="A10" s="7" t="s">
        <v>1641</v>
      </c>
      <c r="B10" s="7" t="s">
        <v>1627</v>
      </c>
      <c r="C10" s="7" t="s">
        <v>2755</v>
      </c>
      <c r="D10" s="7" t="s">
        <v>2733</v>
      </c>
      <c r="E10" s="7" t="s">
        <v>2756</v>
      </c>
      <c r="F10" s="7" t="s">
        <v>2757</v>
      </c>
      <c r="G10" s="8" t="s">
        <v>2758</v>
      </c>
    </row>
    <row r="11" customFormat="false" ht="35.05" hidden="false" customHeight="false" outlineLevel="0" collapsed="false">
      <c r="A11" s="7" t="s">
        <v>288</v>
      </c>
      <c r="B11" s="7" t="s">
        <v>290</v>
      </c>
      <c r="C11" s="7" t="s">
        <v>2759</v>
      </c>
      <c r="D11" s="7" t="s">
        <v>2733</v>
      </c>
      <c r="E11" s="7" t="s">
        <v>2760</v>
      </c>
      <c r="F11" s="7" t="s">
        <v>2761</v>
      </c>
      <c r="G11" s="8" t="s">
        <v>2762</v>
      </c>
    </row>
    <row r="12" customFormat="false" ht="35.05" hidden="false" customHeight="false" outlineLevel="0" collapsed="false">
      <c r="A12" s="7" t="s">
        <v>976</v>
      </c>
      <c r="B12" s="7" t="s">
        <v>888</v>
      </c>
      <c r="C12" s="7" t="s">
        <v>2763</v>
      </c>
      <c r="D12" s="7" t="s">
        <v>2733</v>
      </c>
      <c r="E12" s="7" t="s">
        <v>2764</v>
      </c>
      <c r="F12" s="7" t="s">
        <v>2765</v>
      </c>
      <c r="G12" s="8" t="s">
        <v>981</v>
      </c>
    </row>
    <row r="13" customFormat="false" ht="35.05" hidden="false" customHeight="false" outlineLevel="0" collapsed="false">
      <c r="A13" s="7" t="s">
        <v>1493</v>
      </c>
      <c r="B13" s="7" t="s">
        <v>1487</v>
      </c>
      <c r="C13" s="7" t="s">
        <v>2766</v>
      </c>
      <c r="D13" s="7" t="s">
        <v>2733</v>
      </c>
      <c r="E13" s="7" t="s">
        <v>2767</v>
      </c>
      <c r="F13" s="7" t="s">
        <v>2768</v>
      </c>
      <c r="G13" s="8" t="s">
        <v>1505</v>
      </c>
    </row>
    <row r="14" customFormat="false" ht="35.05" hidden="false" customHeight="false" outlineLevel="0" collapsed="false">
      <c r="A14" s="7" t="s">
        <v>1438</v>
      </c>
      <c r="B14" s="7" t="s">
        <v>888</v>
      </c>
      <c r="C14" s="7" t="s">
        <v>2769</v>
      </c>
      <c r="D14" s="7" t="s">
        <v>2733</v>
      </c>
      <c r="E14" s="7" t="s">
        <v>2770</v>
      </c>
      <c r="F14" s="7" t="s">
        <v>2771</v>
      </c>
      <c r="G14" s="8" t="s">
        <v>1447</v>
      </c>
    </row>
    <row r="15" customFormat="false" ht="46.25" hidden="false" customHeight="false" outlineLevel="0" collapsed="false">
      <c r="A15" s="7" t="s">
        <v>1452</v>
      </c>
      <c r="B15" s="7" t="s">
        <v>888</v>
      </c>
      <c r="C15" s="7" t="s">
        <v>2772</v>
      </c>
      <c r="D15" s="7" t="s">
        <v>2733</v>
      </c>
      <c r="E15" s="7" t="s">
        <v>2773</v>
      </c>
      <c r="F15" s="7" t="s">
        <v>2774</v>
      </c>
      <c r="G15" s="8" t="s">
        <v>2775</v>
      </c>
    </row>
    <row r="16" customFormat="false" ht="35.05" hidden="false" customHeight="false" outlineLevel="0" collapsed="false">
      <c r="A16" s="7" t="s">
        <v>2265</v>
      </c>
      <c r="B16" s="7" t="s">
        <v>2266</v>
      </c>
      <c r="C16" s="7" t="s">
        <v>2776</v>
      </c>
      <c r="D16" s="7" t="s">
        <v>2733</v>
      </c>
      <c r="E16" s="7" t="s">
        <v>2777</v>
      </c>
      <c r="F16" s="7" t="s">
        <v>2778</v>
      </c>
      <c r="G16" s="8" t="s">
        <v>2270</v>
      </c>
    </row>
    <row r="17" customFormat="false" ht="35.05" hidden="false" customHeight="false" outlineLevel="0" collapsed="false">
      <c r="A17" s="7" t="s">
        <v>1397</v>
      </c>
      <c r="B17" s="7" t="s">
        <v>888</v>
      </c>
      <c r="C17" s="7" t="s">
        <v>2736</v>
      </c>
      <c r="D17" s="7" t="s">
        <v>2730</v>
      </c>
      <c r="E17" s="7" t="s">
        <v>2779</v>
      </c>
      <c r="F17" s="7" t="s">
        <v>2780</v>
      </c>
      <c r="G17" s="8" t="s">
        <v>2781</v>
      </c>
    </row>
    <row r="18" customFormat="false" ht="35.05" hidden="false" customHeight="false" outlineLevel="0" collapsed="false">
      <c r="A18" s="7" t="s">
        <v>402</v>
      </c>
      <c r="B18" s="7" t="s">
        <v>103</v>
      </c>
      <c r="C18" s="7" t="s">
        <v>2740</v>
      </c>
      <c r="D18" s="7" t="s">
        <v>2733</v>
      </c>
      <c r="E18" s="7" t="s">
        <v>2782</v>
      </c>
      <c r="F18" s="7" t="s">
        <v>2783</v>
      </c>
      <c r="G18" s="8" t="s">
        <v>383</v>
      </c>
    </row>
    <row r="19" customFormat="false" ht="35.05" hidden="false" customHeight="false" outlineLevel="0" collapsed="false">
      <c r="A19" s="7" t="s">
        <v>1682</v>
      </c>
      <c r="B19" s="7" t="s">
        <v>726</v>
      </c>
      <c r="C19" s="7" t="s">
        <v>1683</v>
      </c>
      <c r="D19" s="7" t="s">
        <v>2733</v>
      </c>
      <c r="E19" s="7" t="s">
        <v>2784</v>
      </c>
      <c r="F19" s="7" t="s">
        <v>2785</v>
      </c>
      <c r="G19" s="8" t="s">
        <v>1685</v>
      </c>
    </row>
  </sheetData>
  <autoFilter ref="A1:G19"/>
  <hyperlinks>
    <hyperlink ref="G2" r:id="rId1" display="https://www.artsyinkolkata.com/"/>
    <hyperlink ref="G3" r:id="rId2" display="https://rootsandleisure.com/artsy-cafe-kolkata/"/>
    <hyperlink ref="G4" r:id="rId3" display="https://www.artsyinkolkata.com/"/>
    <hyperlink ref="G5" r:id="rId4" display="https://rootsandleisure.com/artsy-cafe-kolkata/"/>
    <hyperlink ref="G6" r:id="rId5" display="https://homegrown.co.in/homegrown-explore/beyond-open-mics-dj-sets-cafs-across-india-are-building-music-centric-communities"/>
    <hyperlink ref="G7" r:id="rId6" display="https://curlytales.com/india/food/mumbaikars-boojee-cafe-is-coming-to-bkc-with-its-signature-brews-bites/"/>
    <hyperlink ref="G8" r:id="rId7" display="https://curlytales.com/every-coffee-lover-must-head-to-bouffage-cafe-in-nagpur"/>
    <hyperlink ref="G9" r:id="rId8" display="https://www.district.in/nandan-coffee-takeover-at-genre-delhi-art-weekend-oct5-2025/event"/>
    <hyperlink ref="G10" r:id="rId9" display="https://homegrown.co.in/homegrown-explore/listening-sessions-coffee-cocktails-how-goan-coffee-bars-are-blazing-a-trail"/>
    <hyperlink ref="G11" r:id="rId10" display="https://www.baristamagazine.com/exploring-the-vibrant-specialty-coffee-culture-of-goa-india/"/>
    <hyperlink ref="G12" r:id="rId11" display="https://curlytales.com/india/food/cafe-hoppers-rejoice-gujarats-biggest-cafe-komo-by-kaffa-opens-in-ahmedabad/"/>
    <hyperlink ref="G13" r:id="rId12" display="https://perfectdailygrind.com/2019/03/a-specialty-coffee-shop-tour-of-gujarat-rajasthan/"/>
    <hyperlink ref="G14" r:id="rId13" display="https://knocksense.com/ahmedabad/coffee-chronicles-mleko-cafes-enchanting-presence-in-ahmedabad-is-winning-over-hearts"/>
    <hyperlink ref="G15" r:id="rId14" display="https://echai.ventures/ahmedabad/cafes/sg-highway-west"/>
    <hyperlink ref="G16" r:id="rId15" display="https://www.pinaak.co/discover/varanasi-cafes-restaurants"/>
    <hyperlink ref="G17" r:id="rId16" display="https://www.district.in/dining/ahmedabad/the-dark-roast-prahlad-nagar"/>
    <hyperlink ref="G18" r:id="rId17" display="https://thenodmag.com/content/the-drop-hauz-khas-delhi-indian-specialty-coffee-roastery-review"/>
    <hyperlink ref="G19" r:id="rId18" display="https://www.restaurantindia.in/news/novotel-goa-candolim-unveils-the-little-place-cafe.n1206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32"/>
    <col collapsed="false" customWidth="true" hidden="false" outlineLevel="0" max="4" min="4" style="0" width="10"/>
    <col collapsed="false" customWidth="true" hidden="false" outlineLevel="0" max="5" min="5" style="0" width="16"/>
    <col collapsed="false" customWidth="true" hidden="false" outlineLevel="0" max="6" min="6" style="0" width="22"/>
    <col collapsed="false" customWidth="true" hidden="false" outlineLevel="0" max="8" min="7" style="0" width="50"/>
    <col collapsed="false" customWidth="true" hidden="false" outlineLevel="0" max="9" min="9" style="0" width="40"/>
    <col collapsed="false" customWidth="true" hidden="false" outlineLevel="0" max="10" min="10" style="0" width="26"/>
    <col collapsed="false" customWidth="true" hidden="false" outlineLevel="0" max="11" min="11" style="0" width="34"/>
    <col collapsed="false" customWidth="true" hidden="false" outlineLevel="0" max="12" min="12" style="0" width="30"/>
    <col collapsed="false" customWidth="true" hidden="false" outlineLevel="0" max="13" min="13" style="0" width="26"/>
    <col collapsed="false" customWidth="true" hidden="false" outlineLevel="0" max="14" min="14" style="0" width="18"/>
    <col collapsed="false" customWidth="true" hidden="false" outlineLevel="0" max="15" min="15" style="0" width="40"/>
    <col collapsed="false" customWidth="true" hidden="false" outlineLevel="0" max="16" min="16" style="0" width="34"/>
    <col collapsed="false" customWidth="true" hidden="false" outlineLevel="0" max="17" min="17" style="0" width="45"/>
    <col collapsed="false" customWidth="true" hidden="false" outlineLevel="0" max="18" min="18" style="0" width="30"/>
    <col collapsed="false" customWidth="true" hidden="false" outlineLevel="0" max="19" min="19" style="0" width="45"/>
    <col collapsed="false" customWidth="true" hidden="false" outlineLevel="0" max="20" min="20" style="0" width="50"/>
  </cols>
  <sheetData>
    <row r="1" customFormat="false" ht="30" hidden="false" customHeight="true" outlineLevel="0" collapsed="false">
      <c r="A1" s="6" t="s">
        <v>42</v>
      </c>
      <c r="B1" s="6" t="s">
        <v>45</v>
      </c>
      <c r="C1" s="6" t="s">
        <v>2786</v>
      </c>
      <c r="D1" s="6" t="s">
        <v>48</v>
      </c>
      <c r="E1" s="6" t="s">
        <v>49</v>
      </c>
      <c r="F1" s="6" t="s">
        <v>50</v>
      </c>
      <c r="G1" s="6" t="s">
        <v>2787</v>
      </c>
      <c r="H1" s="6" t="s">
        <v>2788</v>
      </c>
      <c r="I1" s="6" t="s">
        <v>2789</v>
      </c>
      <c r="J1" s="6" t="s">
        <v>62</v>
      </c>
      <c r="K1" s="6" t="s">
        <v>63</v>
      </c>
      <c r="L1" s="6" t="s">
        <v>64</v>
      </c>
      <c r="M1" s="6" t="s">
        <v>65</v>
      </c>
      <c r="N1" s="6" t="s">
        <v>66</v>
      </c>
      <c r="O1" s="6" t="s">
        <v>67</v>
      </c>
      <c r="P1" s="6" t="s">
        <v>69</v>
      </c>
      <c r="Q1" s="6" t="s">
        <v>70</v>
      </c>
      <c r="R1" s="6" t="s">
        <v>71</v>
      </c>
      <c r="S1" s="6" t="s">
        <v>2790</v>
      </c>
      <c r="T1" s="6" t="s">
        <v>2791</v>
      </c>
    </row>
    <row r="2" customFormat="false" ht="23.85" hidden="false" customHeight="false" outlineLevel="0" collapsed="false">
      <c r="A2" s="7" t="s">
        <v>2792</v>
      </c>
      <c r="B2" s="7" t="s">
        <v>98</v>
      </c>
      <c r="C2" s="7" t="s">
        <v>2793</v>
      </c>
      <c r="D2" s="7" t="s">
        <v>81</v>
      </c>
      <c r="E2" s="7" t="s">
        <v>82</v>
      </c>
      <c r="F2" s="7" t="s">
        <v>119</v>
      </c>
      <c r="G2" s="7" t="s">
        <v>2794</v>
      </c>
      <c r="H2" s="7" t="s">
        <v>2795</v>
      </c>
      <c r="I2" s="7" t="s">
        <v>2796</v>
      </c>
      <c r="J2" s="7"/>
      <c r="K2" s="7"/>
      <c r="L2" s="7"/>
      <c r="M2" s="7"/>
      <c r="N2" s="7"/>
      <c r="O2" s="7"/>
      <c r="P2" s="7"/>
      <c r="Q2" s="8" t="s">
        <v>2797</v>
      </c>
      <c r="R2" s="7"/>
      <c r="S2" s="7"/>
      <c r="T2" s="7"/>
    </row>
    <row r="3" customFormat="false" ht="79.85" hidden="false" customHeight="false" outlineLevel="0" collapsed="false">
      <c r="A3" s="7" t="s">
        <v>2798</v>
      </c>
      <c r="B3" s="7" t="s">
        <v>78</v>
      </c>
      <c r="C3" s="7" t="s">
        <v>2799</v>
      </c>
      <c r="D3" s="7" t="s">
        <v>81</v>
      </c>
      <c r="E3" s="7" t="s">
        <v>82</v>
      </c>
      <c r="F3" s="7" t="s">
        <v>119</v>
      </c>
      <c r="G3" s="7" t="s">
        <v>2800</v>
      </c>
      <c r="H3" s="7" t="s">
        <v>2801</v>
      </c>
      <c r="I3" s="7" t="s">
        <v>2802</v>
      </c>
      <c r="J3" s="7"/>
      <c r="K3" s="7"/>
      <c r="L3" s="7"/>
      <c r="M3" s="7"/>
      <c r="N3" s="7"/>
      <c r="O3" s="7"/>
      <c r="P3" s="7" t="s">
        <v>2803</v>
      </c>
      <c r="Q3" s="8" t="s">
        <v>2804</v>
      </c>
      <c r="R3" s="7"/>
      <c r="S3" s="7"/>
      <c r="T3" s="7" t="s">
        <v>2805</v>
      </c>
    </row>
    <row r="4" customFormat="false" ht="15" hidden="false" customHeight="false" outlineLevel="0" collapsed="false">
      <c r="A4" s="7" t="s">
        <v>2806</v>
      </c>
      <c r="B4" s="7" t="s">
        <v>78</v>
      </c>
      <c r="C4" s="7" t="s">
        <v>2744</v>
      </c>
      <c r="D4" s="7" t="s">
        <v>81</v>
      </c>
      <c r="E4" s="7" t="s">
        <v>82</v>
      </c>
      <c r="F4" s="7" t="s">
        <v>119</v>
      </c>
      <c r="G4" s="7" t="s">
        <v>2807</v>
      </c>
      <c r="H4" s="7" t="s">
        <v>2808</v>
      </c>
      <c r="I4" s="7" t="s">
        <v>2809</v>
      </c>
      <c r="J4" s="7"/>
      <c r="K4" s="7"/>
      <c r="L4" s="7"/>
      <c r="M4" s="7"/>
      <c r="N4" s="7"/>
      <c r="O4" s="7"/>
      <c r="P4" s="7"/>
      <c r="Q4" s="8" t="s">
        <v>127</v>
      </c>
      <c r="R4" s="7"/>
      <c r="S4" s="7"/>
      <c r="T4" s="7" t="s">
        <v>2810</v>
      </c>
    </row>
    <row r="5" customFormat="false" ht="23.85" hidden="false" customHeight="false" outlineLevel="0" collapsed="false">
      <c r="A5" s="7" t="s">
        <v>2811</v>
      </c>
      <c r="B5" s="7" t="s">
        <v>78</v>
      </c>
      <c r="C5" s="7" t="s">
        <v>2812</v>
      </c>
      <c r="D5" s="7" t="s">
        <v>81</v>
      </c>
      <c r="E5" s="7" t="s">
        <v>82</v>
      </c>
      <c r="F5" s="7" t="s">
        <v>119</v>
      </c>
      <c r="G5" s="7" t="s">
        <v>2813</v>
      </c>
      <c r="H5" s="7" t="s">
        <v>2814</v>
      </c>
      <c r="I5" s="7" t="s">
        <v>2802</v>
      </c>
      <c r="J5" s="7"/>
      <c r="K5" s="7"/>
      <c r="L5" s="7"/>
      <c r="M5" s="7"/>
      <c r="N5" s="7"/>
      <c r="O5" s="7"/>
      <c r="P5" s="7"/>
      <c r="Q5" s="8" t="s">
        <v>2815</v>
      </c>
      <c r="R5" s="7"/>
      <c r="S5" s="7"/>
      <c r="T5" s="7" t="s">
        <v>2816</v>
      </c>
    </row>
    <row r="6" customFormat="false" ht="15" hidden="false" customHeight="false" outlineLevel="0" collapsed="false">
      <c r="A6" s="7" t="s">
        <v>2817</v>
      </c>
      <c r="B6" s="7" t="s">
        <v>78</v>
      </c>
      <c r="C6" s="7" t="s">
        <v>2818</v>
      </c>
      <c r="D6" s="7" t="s">
        <v>81</v>
      </c>
      <c r="E6" s="7" t="s">
        <v>82</v>
      </c>
      <c r="F6" s="7" t="s">
        <v>119</v>
      </c>
      <c r="G6" s="7" t="s">
        <v>2819</v>
      </c>
      <c r="H6" s="7" t="s">
        <v>2820</v>
      </c>
      <c r="I6" s="7" t="s">
        <v>2802</v>
      </c>
      <c r="J6" s="7"/>
      <c r="K6" s="7"/>
      <c r="L6" s="7"/>
      <c r="M6" s="7"/>
      <c r="N6" s="7"/>
      <c r="O6" s="7"/>
      <c r="P6" s="7"/>
      <c r="Q6" s="8" t="s">
        <v>2821</v>
      </c>
      <c r="R6" s="7"/>
      <c r="S6" s="7"/>
      <c r="T6" s="7"/>
    </row>
    <row r="7" customFormat="false" ht="23.85" hidden="false" customHeight="false" outlineLevel="0" collapsed="false">
      <c r="A7" s="7" t="s">
        <v>2822</v>
      </c>
      <c r="B7" s="7" t="s">
        <v>78</v>
      </c>
      <c r="C7" s="7" t="s">
        <v>2823</v>
      </c>
      <c r="D7" s="7" t="s">
        <v>81</v>
      </c>
      <c r="E7" s="7" t="s">
        <v>82</v>
      </c>
      <c r="F7" s="7" t="s">
        <v>119</v>
      </c>
      <c r="G7" s="7" t="s">
        <v>2824</v>
      </c>
      <c r="H7" s="7" t="s">
        <v>2825</v>
      </c>
      <c r="I7" s="7" t="s">
        <v>2826</v>
      </c>
      <c r="J7" s="7"/>
      <c r="K7" s="7"/>
      <c r="L7" s="7"/>
      <c r="M7" s="7"/>
      <c r="N7" s="7"/>
      <c r="O7" s="8" t="s">
        <v>2827</v>
      </c>
      <c r="P7" s="7"/>
      <c r="Q7" s="8" t="s">
        <v>2828</v>
      </c>
      <c r="R7" s="7"/>
      <c r="S7" s="7"/>
      <c r="T7" s="7" t="s">
        <v>2829</v>
      </c>
    </row>
    <row r="8" customFormat="false" ht="35.05" hidden="false" customHeight="false" outlineLevel="0" collapsed="false">
      <c r="A8" s="7" t="s">
        <v>2830</v>
      </c>
      <c r="B8" s="7" t="s">
        <v>78</v>
      </c>
      <c r="C8" s="7" t="s">
        <v>2831</v>
      </c>
      <c r="D8" s="7" t="s">
        <v>81</v>
      </c>
      <c r="E8" s="7" t="s">
        <v>82</v>
      </c>
      <c r="F8" s="7" t="s">
        <v>119</v>
      </c>
      <c r="G8" s="7" t="s">
        <v>2832</v>
      </c>
      <c r="H8" s="7" t="s">
        <v>2833</v>
      </c>
      <c r="I8" s="7" t="s">
        <v>2834</v>
      </c>
      <c r="J8" s="7"/>
      <c r="K8" s="7"/>
      <c r="L8" s="7"/>
      <c r="M8" s="7"/>
      <c r="N8" s="7"/>
      <c r="O8" s="7"/>
      <c r="P8" s="7" t="s">
        <v>2835</v>
      </c>
      <c r="Q8" s="8" t="s">
        <v>2836</v>
      </c>
      <c r="R8" s="7" t="s">
        <v>2837</v>
      </c>
      <c r="S8" s="7"/>
      <c r="T8" s="7"/>
    </row>
    <row r="9" customFormat="false" ht="35.05" hidden="false" customHeight="false" outlineLevel="0" collapsed="false">
      <c r="A9" s="7" t="s">
        <v>2838</v>
      </c>
      <c r="B9" s="7" t="s">
        <v>78</v>
      </c>
      <c r="C9" s="7" t="s">
        <v>2751</v>
      </c>
      <c r="D9" s="7" t="s">
        <v>81</v>
      </c>
      <c r="E9" s="7" t="s">
        <v>82</v>
      </c>
      <c r="F9" s="7" t="s">
        <v>119</v>
      </c>
      <c r="G9" s="7" t="s">
        <v>2839</v>
      </c>
      <c r="H9" s="7" t="s">
        <v>2840</v>
      </c>
      <c r="I9" s="7" t="s">
        <v>2841</v>
      </c>
      <c r="J9" s="7"/>
      <c r="K9" s="7"/>
      <c r="L9" s="7"/>
      <c r="M9" s="7"/>
      <c r="N9" s="7"/>
      <c r="O9" s="7"/>
      <c r="P9" s="7"/>
      <c r="Q9" s="8" t="s">
        <v>2842</v>
      </c>
      <c r="R9" s="7"/>
      <c r="S9" s="7"/>
      <c r="T9" s="7" t="s">
        <v>2843</v>
      </c>
    </row>
    <row r="10" customFormat="false" ht="35.05" hidden="false" customHeight="false" outlineLevel="0" collapsed="false">
      <c r="A10" s="7" t="s">
        <v>2844</v>
      </c>
      <c r="B10" s="7" t="s">
        <v>78</v>
      </c>
      <c r="C10" s="7" t="s">
        <v>2845</v>
      </c>
      <c r="D10" s="7" t="s">
        <v>81</v>
      </c>
      <c r="E10" s="7" t="s">
        <v>82</v>
      </c>
      <c r="F10" s="7" t="s">
        <v>119</v>
      </c>
      <c r="G10" s="7" t="s">
        <v>2846</v>
      </c>
      <c r="H10" s="7" t="s">
        <v>2847</v>
      </c>
      <c r="I10" s="7"/>
      <c r="J10" s="7"/>
      <c r="K10" s="7"/>
      <c r="L10" s="7"/>
      <c r="M10" s="7"/>
      <c r="N10" s="7"/>
      <c r="O10" s="7"/>
      <c r="P10" s="7"/>
      <c r="Q10" s="8" t="s">
        <v>2848</v>
      </c>
      <c r="R10" s="7" t="s">
        <v>2849</v>
      </c>
      <c r="S10" s="7"/>
      <c r="T10" s="7" t="s">
        <v>2850</v>
      </c>
    </row>
    <row r="11" customFormat="false" ht="79.85" hidden="false" customHeight="false" outlineLevel="0" collapsed="false">
      <c r="A11" s="7" t="s">
        <v>2851</v>
      </c>
      <c r="B11" s="7" t="s">
        <v>78</v>
      </c>
      <c r="C11" s="7" t="s">
        <v>2740</v>
      </c>
      <c r="D11" s="7" t="s">
        <v>81</v>
      </c>
      <c r="E11" s="7" t="s">
        <v>82</v>
      </c>
      <c r="F11" s="7" t="s">
        <v>119</v>
      </c>
      <c r="G11" s="7" t="s">
        <v>2852</v>
      </c>
      <c r="H11" s="7" t="s">
        <v>2853</v>
      </c>
      <c r="I11" s="7" t="s">
        <v>2854</v>
      </c>
      <c r="J11" s="7" t="s">
        <v>2855</v>
      </c>
      <c r="K11" s="8" t="s">
        <v>2856</v>
      </c>
      <c r="L11" s="8" t="s">
        <v>2857</v>
      </c>
      <c r="M11" s="7"/>
      <c r="N11" s="7"/>
      <c r="O11" s="8" t="s">
        <v>2858</v>
      </c>
      <c r="P11" s="7" t="s">
        <v>2859</v>
      </c>
      <c r="Q11" s="8" t="s">
        <v>2856</v>
      </c>
      <c r="R11" s="7"/>
      <c r="S11" s="7"/>
      <c r="T11" s="7" t="s">
        <v>2860</v>
      </c>
    </row>
    <row r="12" customFormat="false" ht="57.45" hidden="false" customHeight="false" outlineLevel="0" collapsed="false">
      <c r="A12" s="7" t="s">
        <v>2861</v>
      </c>
      <c r="B12" s="7" t="s">
        <v>78</v>
      </c>
      <c r="C12" s="7" t="s">
        <v>2862</v>
      </c>
      <c r="D12" s="7" t="s">
        <v>81</v>
      </c>
      <c r="E12" s="7" t="s">
        <v>82</v>
      </c>
      <c r="F12" s="7" t="s">
        <v>119</v>
      </c>
      <c r="G12" s="7" t="s">
        <v>2863</v>
      </c>
      <c r="H12" s="7" t="s">
        <v>2864</v>
      </c>
      <c r="I12" s="7" t="s">
        <v>2796</v>
      </c>
      <c r="J12" s="7"/>
      <c r="K12" s="7"/>
      <c r="L12" s="7"/>
      <c r="M12" s="7"/>
      <c r="N12" s="7"/>
      <c r="O12" s="8" t="s">
        <v>2865</v>
      </c>
      <c r="P12" s="7"/>
      <c r="Q12" s="8" t="s">
        <v>2865</v>
      </c>
      <c r="R12" s="7"/>
      <c r="S12" s="7"/>
      <c r="T12" s="7" t="s">
        <v>2866</v>
      </c>
    </row>
    <row r="13" customFormat="false" ht="35.05" hidden="false" customHeight="false" outlineLevel="0" collapsed="false">
      <c r="A13" s="7" t="s">
        <v>2867</v>
      </c>
      <c r="B13" s="7" t="s">
        <v>78</v>
      </c>
      <c r="C13" s="7" t="s">
        <v>2868</v>
      </c>
      <c r="D13" s="7" t="s">
        <v>81</v>
      </c>
      <c r="E13" s="7" t="s">
        <v>82</v>
      </c>
      <c r="F13" s="7" t="s">
        <v>119</v>
      </c>
      <c r="G13" s="7" t="s">
        <v>2869</v>
      </c>
      <c r="H13" s="7" t="s">
        <v>2870</v>
      </c>
      <c r="I13" s="7" t="s">
        <v>2871</v>
      </c>
      <c r="J13" s="7"/>
      <c r="K13" s="7"/>
      <c r="L13" s="7"/>
      <c r="M13" s="7"/>
      <c r="N13" s="7"/>
      <c r="O13" s="7"/>
      <c r="P13" s="7"/>
      <c r="Q13" s="8" t="s">
        <v>2872</v>
      </c>
      <c r="R13" s="7"/>
      <c r="S13" s="7"/>
      <c r="T13" s="7" t="s">
        <v>2873</v>
      </c>
    </row>
    <row r="14" customFormat="false" ht="23.85" hidden="false" customHeight="false" outlineLevel="0" collapsed="false">
      <c r="A14" s="7" t="s">
        <v>2874</v>
      </c>
      <c r="B14" s="7" t="s">
        <v>78</v>
      </c>
      <c r="C14" s="7" t="s">
        <v>2875</v>
      </c>
      <c r="D14" s="7" t="s">
        <v>81</v>
      </c>
      <c r="E14" s="7" t="s">
        <v>82</v>
      </c>
      <c r="F14" s="7" t="s">
        <v>119</v>
      </c>
      <c r="G14" s="7" t="s">
        <v>2876</v>
      </c>
      <c r="H14" s="7" t="s">
        <v>2877</v>
      </c>
      <c r="I14" s="7" t="s">
        <v>2802</v>
      </c>
      <c r="J14" s="7"/>
      <c r="K14" s="7"/>
      <c r="L14" s="7"/>
      <c r="M14" s="7"/>
      <c r="N14" s="7"/>
      <c r="O14" s="7"/>
      <c r="P14" s="7"/>
      <c r="Q14" s="8" t="s">
        <v>2815</v>
      </c>
      <c r="R14" s="7"/>
      <c r="S14" s="7"/>
      <c r="T14" s="7" t="s">
        <v>2878</v>
      </c>
    </row>
    <row r="15" customFormat="false" ht="15" hidden="false" customHeight="false" outlineLevel="0" collapsed="false">
      <c r="A15" s="7" t="s">
        <v>2879</v>
      </c>
      <c r="B15" s="7" t="s">
        <v>78</v>
      </c>
      <c r="C15" s="7" t="s">
        <v>2880</v>
      </c>
      <c r="D15" s="7" t="s">
        <v>81</v>
      </c>
      <c r="E15" s="7" t="s">
        <v>82</v>
      </c>
      <c r="F15" s="7" t="s">
        <v>2881</v>
      </c>
      <c r="G15" s="7" t="s">
        <v>2882</v>
      </c>
      <c r="H15" s="7" t="s">
        <v>2883</v>
      </c>
      <c r="I15" s="7"/>
      <c r="J15" s="7"/>
      <c r="K15" s="7"/>
      <c r="L15" s="7"/>
      <c r="M15" s="7"/>
      <c r="N15" s="7"/>
      <c r="O15" s="7"/>
      <c r="P15" s="7"/>
      <c r="Q15" s="8" t="s">
        <v>2884</v>
      </c>
      <c r="R15" s="7" t="s">
        <v>2885</v>
      </c>
      <c r="S15" s="7"/>
      <c r="T15" s="7" t="s">
        <v>2886</v>
      </c>
    </row>
    <row r="16" customFormat="false" ht="124.6" hidden="false" customHeight="false" outlineLevel="0" collapsed="false">
      <c r="A16" s="7" t="s">
        <v>2887</v>
      </c>
      <c r="B16" s="7" t="s">
        <v>78</v>
      </c>
      <c r="C16" s="7" t="s">
        <v>1162</v>
      </c>
      <c r="D16" s="7" t="s">
        <v>81</v>
      </c>
      <c r="E16" s="7" t="s">
        <v>82</v>
      </c>
      <c r="F16" s="7" t="s">
        <v>866</v>
      </c>
      <c r="G16" s="7" t="s">
        <v>2888</v>
      </c>
      <c r="H16" s="7" t="s">
        <v>2889</v>
      </c>
      <c r="I16" s="7" t="s">
        <v>2890</v>
      </c>
      <c r="J16" s="7" t="s">
        <v>2891</v>
      </c>
      <c r="K16" s="8" t="s">
        <v>2892</v>
      </c>
      <c r="L16" s="8" t="s">
        <v>2893</v>
      </c>
      <c r="M16" s="7"/>
      <c r="N16" s="7"/>
      <c r="O16" s="7"/>
      <c r="P16" s="7" t="s">
        <v>2894</v>
      </c>
      <c r="Q16" s="8" t="s">
        <v>2895</v>
      </c>
      <c r="R16" s="7"/>
      <c r="S16" s="7"/>
      <c r="T16" s="7" t="s">
        <v>2896</v>
      </c>
    </row>
    <row r="17" customFormat="false" ht="15" hidden="false" customHeight="false" outlineLevel="0" collapsed="false">
      <c r="A17" s="7" t="s">
        <v>2897</v>
      </c>
      <c r="B17" s="7" t="s">
        <v>78</v>
      </c>
      <c r="C17" s="7" t="s">
        <v>2898</v>
      </c>
      <c r="D17" s="7" t="s">
        <v>81</v>
      </c>
      <c r="E17" s="7" t="s">
        <v>82</v>
      </c>
      <c r="F17" s="7" t="s">
        <v>866</v>
      </c>
      <c r="G17" s="7" t="s">
        <v>2899</v>
      </c>
      <c r="H17" s="7" t="s">
        <v>2900</v>
      </c>
      <c r="I17" s="7" t="s">
        <v>2796</v>
      </c>
      <c r="J17" s="7" t="s">
        <v>2901</v>
      </c>
      <c r="K17" s="8" t="s">
        <v>2902</v>
      </c>
      <c r="L17" s="7"/>
      <c r="M17" s="7"/>
      <c r="N17" s="7"/>
      <c r="O17" s="7"/>
      <c r="P17" s="7"/>
      <c r="Q17" s="8" t="s">
        <v>2902</v>
      </c>
      <c r="R17" s="7"/>
      <c r="S17" s="7"/>
      <c r="T17" s="7"/>
    </row>
    <row r="18" customFormat="false" ht="15" hidden="false" customHeight="false" outlineLevel="0" collapsed="false">
      <c r="A18" s="7" t="s">
        <v>2903</v>
      </c>
      <c r="B18" s="7" t="s">
        <v>98</v>
      </c>
      <c r="C18" s="7" t="s">
        <v>2904</v>
      </c>
      <c r="D18" s="7" t="s">
        <v>81</v>
      </c>
      <c r="E18" s="7" t="s">
        <v>82</v>
      </c>
      <c r="F18" s="7" t="s">
        <v>1214</v>
      </c>
      <c r="G18" s="7" t="s">
        <v>2905</v>
      </c>
      <c r="H18" s="7" t="s">
        <v>2900</v>
      </c>
      <c r="I18" s="7" t="s">
        <v>2796</v>
      </c>
      <c r="J18" s="7" t="s">
        <v>2906</v>
      </c>
      <c r="K18" s="8" t="s">
        <v>2907</v>
      </c>
      <c r="L18" s="7"/>
      <c r="M18" s="7"/>
      <c r="N18" s="7"/>
      <c r="O18" s="7"/>
      <c r="P18" s="7"/>
      <c r="Q18" s="8" t="s">
        <v>2907</v>
      </c>
      <c r="R18" s="7"/>
      <c r="S18" s="7"/>
      <c r="T18" s="7"/>
    </row>
    <row r="19" customFormat="false" ht="23.85" hidden="false" customHeight="false" outlineLevel="0" collapsed="false">
      <c r="A19" s="7" t="s">
        <v>2908</v>
      </c>
      <c r="B19" s="7" t="s">
        <v>98</v>
      </c>
      <c r="C19" s="7" t="s">
        <v>2909</v>
      </c>
      <c r="D19" s="7" t="s">
        <v>81</v>
      </c>
      <c r="E19" s="7" t="s">
        <v>82</v>
      </c>
      <c r="F19" s="7" t="s">
        <v>83</v>
      </c>
      <c r="G19" s="7" t="s">
        <v>2786</v>
      </c>
      <c r="H19" s="7" t="s">
        <v>2910</v>
      </c>
      <c r="I19" s="7" t="s">
        <v>2911</v>
      </c>
      <c r="J19" s="7"/>
      <c r="K19" s="7"/>
      <c r="L19" s="7"/>
      <c r="M19" s="7"/>
      <c r="N19" s="7"/>
      <c r="O19" s="7"/>
      <c r="P19" s="7"/>
      <c r="Q19" s="8" t="s">
        <v>2815</v>
      </c>
      <c r="R19" s="7" t="s">
        <v>2912</v>
      </c>
      <c r="S19" s="7"/>
      <c r="T19" s="7" t="s">
        <v>2913</v>
      </c>
    </row>
    <row r="20" customFormat="false" ht="23.85" hidden="false" customHeight="false" outlineLevel="0" collapsed="false">
      <c r="A20" s="7" t="s">
        <v>2914</v>
      </c>
      <c r="B20" s="7" t="s">
        <v>78</v>
      </c>
      <c r="C20" s="7" t="s">
        <v>2915</v>
      </c>
      <c r="D20" s="7" t="s">
        <v>81</v>
      </c>
      <c r="E20" s="7" t="s">
        <v>82</v>
      </c>
      <c r="F20" s="7" t="s">
        <v>83</v>
      </c>
      <c r="G20" s="7" t="s">
        <v>2916</v>
      </c>
      <c r="H20" s="7" t="s">
        <v>2917</v>
      </c>
      <c r="I20" s="7" t="s">
        <v>2918</v>
      </c>
      <c r="J20" s="7"/>
      <c r="K20" s="7"/>
      <c r="L20" s="8" t="s">
        <v>2919</v>
      </c>
      <c r="M20" s="7"/>
      <c r="N20" s="7"/>
      <c r="O20" s="7"/>
      <c r="P20" s="7"/>
      <c r="Q20" s="8" t="s">
        <v>2920</v>
      </c>
      <c r="R20" s="7"/>
      <c r="S20" s="7"/>
      <c r="T20" s="7"/>
    </row>
    <row r="21" customFormat="false" ht="79.85" hidden="false" customHeight="false" outlineLevel="0" collapsed="false">
      <c r="A21" s="7" t="s">
        <v>2921</v>
      </c>
      <c r="B21" s="7" t="s">
        <v>78</v>
      </c>
      <c r="C21" s="7" t="s">
        <v>2922</v>
      </c>
      <c r="D21" s="7" t="s">
        <v>81</v>
      </c>
      <c r="E21" s="7" t="s">
        <v>82</v>
      </c>
      <c r="F21" s="7" t="s">
        <v>2923</v>
      </c>
      <c r="G21" s="7" t="s">
        <v>2924</v>
      </c>
      <c r="H21" s="7" t="s">
        <v>2925</v>
      </c>
      <c r="I21" s="7" t="s">
        <v>2802</v>
      </c>
      <c r="J21" s="7"/>
      <c r="K21" s="7"/>
      <c r="L21" s="8" t="s">
        <v>2926</v>
      </c>
      <c r="M21" s="7"/>
      <c r="N21" s="7"/>
      <c r="O21" s="7"/>
      <c r="P21" s="7"/>
      <c r="Q21" s="8" t="s">
        <v>2927</v>
      </c>
      <c r="R21" s="7"/>
      <c r="S21" s="7"/>
      <c r="T21" s="7" t="s">
        <v>2928</v>
      </c>
    </row>
    <row r="22" customFormat="false" ht="35.05" hidden="false" customHeight="false" outlineLevel="0" collapsed="false">
      <c r="A22" s="7" t="s">
        <v>2929</v>
      </c>
      <c r="B22" s="7" t="s">
        <v>98</v>
      </c>
      <c r="C22" s="7" t="s">
        <v>2930</v>
      </c>
      <c r="D22" s="7" t="s">
        <v>81</v>
      </c>
      <c r="E22" s="7" t="s">
        <v>714</v>
      </c>
      <c r="F22" s="7" t="s">
        <v>888</v>
      </c>
      <c r="G22" s="7" t="s">
        <v>2931</v>
      </c>
      <c r="H22" s="7" t="s">
        <v>2932</v>
      </c>
      <c r="I22" s="7" t="s">
        <v>2933</v>
      </c>
      <c r="J22" s="7"/>
      <c r="K22" s="7"/>
      <c r="L22" s="7"/>
      <c r="M22" s="7"/>
      <c r="N22" s="7"/>
      <c r="O22" s="7"/>
      <c r="P22" s="7"/>
      <c r="Q22" s="8" t="s">
        <v>2934</v>
      </c>
      <c r="R22" s="7"/>
      <c r="S22" s="7"/>
      <c r="T22" s="7" t="s">
        <v>2935</v>
      </c>
    </row>
    <row r="23" customFormat="false" ht="15" hidden="false" customHeight="false" outlineLevel="0" collapsed="false">
      <c r="A23" s="7" t="s">
        <v>2936</v>
      </c>
      <c r="B23" s="7" t="s">
        <v>98</v>
      </c>
      <c r="C23" s="7" t="s">
        <v>2937</v>
      </c>
      <c r="D23" s="7" t="s">
        <v>81</v>
      </c>
      <c r="E23" s="7" t="s">
        <v>714</v>
      </c>
      <c r="F23" s="7" t="s">
        <v>888</v>
      </c>
      <c r="G23" s="7" t="s">
        <v>2786</v>
      </c>
      <c r="H23" s="7" t="s">
        <v>2938</v>
      </c>
      <c r="I23" s="7" t="s">
        <v>2796</v>
      </c>
      <c r="J23" s="7"/>
      <c r="K23" s="7"/>
      <c r="L23" s="7"/>
      <c r="M23" s="7"/>
      <c r="N23" s="7"/>
      <c r="O23" s="7"/>
      <c r="P23" s="7"/>
      <c r="Q23" s="8" t="s">
        <v>2939</v>
      </c>
      <c r="R23" s="7" t="s">
        <v>2912</v>
      </c>
      <c r="S23" s="7"/>
      <c r="T23" s="7"/>
    </row>
    <row r="24" customFormat="false" ht="35.05" hidden="false" customHeight="false" outlineLevel="0" collapsed="false">
      <c r="A24" s="7" t="s">
        <v>2940</v>
      </c>
      <c r="B24" s="7" t="s">
        <v>78</v>
      </c>
      <c r="C24" s="7" t="s">
        <v>2941</v>
      </c>
      <c r="D24" s="7" t="s">
        <v>81</v>
      </c>
      <c r="E24" s="7" t="s">
        <v>714</v>
      </c>
      <c r="F24" s="7" t="s">
        <v>888</v>
      </c>
      <c r="G24" s="7" t="s">
        <v>2942</v>
      </c>
      <c r="H24" s="7" t="s">
        <v>2943</v>
      </c>
      <c r="I24" s="7" t="s">
        <v>2944</v>
      </c>
      <c r="J24" s="7"/>
      <c r="K24" s="7"/>
      <c r="L24" s="7"/>
      <c r="M24" s="7"/>
      <c r="N24" s="7"/>
      <c r="O24" s="7"/>
      <c r="P24" s="7"/>
      <c r="Q24" s="8" t="s">
        <v>2934</v>
      </c>
      <c r="R24" s="7"/>
      <c r="S24" s="7"/>
      <c r="T24" s="7" t="s">
        <v>2935</v>
      </c>
    </row>
    <row r="25" customFormat="false" ht="35.05" hidden="false" customHeight="false" outlineLevel="0" collapsed="false">
      <c r="A25" s="7" t="s">
        <v>2945</v>
      </c>
      <c r="B25" s="7" t="s">
        <v>78</v>
      </c>
      <c r="C25" s="7" t="s">
        <v>2772</v>
      </c>
      <c r="D25" s="7" t="s">
        <v>81</v>
      </c>
      <c r="E25" s="7" t="s">
        <v>714</v>
      </c>
      <c r="F25" s="7" t="s">
        <v>888</v>
      </c>
      <c r="G25" s="7" t="s">
        <v>2946</v>
      </c>
      <c r="H25" s="7" t="s">
        <v>2947</v>
      </c>
      <c r="I25" s="7" t="s">
        <v>2796</v>
      </c>
      <c r="J25" s="7" t="s">
        <v>2948</v>
      </c>
      <c r="K25" s="8" t="s">
        <v>2949</v>
      </c>
      <c r="L25" s="7"/>
      <c r="M25" s="7"/>
      <c r="N25" s="7"/>
      <c r="O25" s="7"/>
      <c r="P25" s="7"/>
      <c r="Q25" s="8" t="s">
        <v>1404</v>
      </c>
      <c r="R25" s="7"/>
      <c r="S25" s="7"/>
      <c r="T25" s="7"/>
    </row>
    <row r="26" customFormat="false" ht="23.85" hidden="false" customHeight="false" outlineLevel="0" collapsed="false">
      <c r="A26" s="7" t="s">
        <v>2950</v>
      </c>
      <c r="B26" s="7" t="s">
        <v>98</v>
      </c>
      <c r="C26" s="7" t="s">
        <v>2763</v>
      </c>
      <c r="D26" s="7" t="s">
        <v>81</v>
      </c>
      <c r="E26" s="7" t="s">
        <v>714</v>
      </c>
      <c r="F26" s="7" t="s">
        <v>2951</v>
      </c>
      <c r="G26" s="7" t="s">
        <v>2952</v>
      </c>
      <c r="H26" s="7" t="s">
        <v>2953</v>
      </c>
      <c r="I26" s="7" t="s">
        <v>2954</v>
      </c>
      <c r="J26" s="7"/>
      <c r="K26" s="7"/>
      <c r="L26" s="7"/>
      <c r="M26" s="7"/>
      <c r="N26" s="7"/>
      <c r="O26" s="7"/>
      <c r="P26" s="7"/>
      <c r="Q26" s="8" t="s">
        <v>981</v>
      </c>
      <c r="R26" s="7"/>
      <c r="S26" s="7"/>
      <c r="T26" s="7"/>
    </row>
    <row r="27" customFormat="false" ht="15" hidden="false" customHeight="false" outlineLevel="0" collapsed="false">
      <c r="A27" s="7" t="s">
        <v>2955</v>
      </c>
      <c r="B27" s="7" t="s">
        <v>78</v>
      </c>
      <c r="C27" s="7" t="s">
        <v>2956</v>
      </c>
      <c r="D27" s="7" t="s">
        <v>81</v>
      </c>
      <c r="E27" s="7" t="s">
        <v>714</v>
      </c>
      <c r="F27" s="7" t="s">
        <v>1487</v>
      </c>
      <c r="G27" s="7" t="s">
        <v>2786</v>
      </c>
      <c r="H27" s="7" t="s">
        <v>2957</v>
      </c>
      <c r="I27" s="7"/>
      <c r="J27" s="7"/>
      <c r="K27" s="7"/>
      <c r="L27" s="7"/>
      <c r="M27" s="7"/>
      <c r="N27" s="7"/>
      <c r="O27" s="7"/>
      <c r="P27" s="7"/>
      <c r="Q27" s="8" t="s">
        <v>2958</v>
      </c>
      <c r="R27" s="7" t="s">
        <v>1549</v>
      </c>
      <c r="S27" s="7"/>
      <c r="T27" s="7"/>
    </row>
    <row r="28" customFormat="false" ht="57.45" hidden="false" customHeight="false" outlineLevel="0" collapsed="false">
      <c r="A28" s="7" t="s">
        <v>2959</v>
      </c>
      <c r="B28" s="7" t="s">
        <v>98</v>
      </c>
      <c r="C28" s="7" t="s">
        <v>2960</v>
      </c>
      <c r="D28" s="7" t="s">
        <v>81</v>
      </c>
      <c r="E28" s="7" t="s">
        <v>714</v>
      </c>
      <c r="F28" s="7" t="s">
        <v>2961</v>
      </c>
      <c r="G28" s="7" t="s">
        <v>2962</v>
      </c>
      <c r="H28" s="7" t="s">
        <v>2963</v>
      </c>
      <c r="I28" s="7" t="s">
        <v>2964</v>
      </c>
      <c r="J28" s="7"/>
      <c r="K28" s="7"/>
      <c r="L28" s="8" t="s">
        <v>2965</v>
      </c>
      <c r="M28" s="7"/>
      <c r="N28" s="7"/>
      <c r="O28" s="7"/>
      <c r="P28" s="7"/>
      <c r="Q28" s="8" t="s">
        <v>2966</v>
      </c>
      <c r="R28" s="7"/>
      <c r="S28" s="7"/>
      <c r="T28" s="7" t="s">
        <v>2967</v>
      </c>
    </row>
    <row r="29" customFormat="false" ht="15" hidden="false" customHeight="false" outlineLevel="0" collapsed="false">
      <c r="A29" s="7" t="s">
        <v>2968</v>
      </c>
      <c r="B29" s="7" t="s">
        <v>98</v>
      </c>
      <c r="C29" s="7" t="s">
        <v>2969</v>
      </c>
      <c r="D29" s="7" t="s">
        <v>81</v>
      </c>
      <c r="E29" s="7" t="s">
        <v>714</v>
      </c>
      <c r="F29" s="7" t="s">
        <v>2970</v>
      </c>
      <c r="G29" s="7" t="s">
        <v>2971</v>
      </c>
      <c r="H29" s="7" t="s">
        <v>2972</v>
      </c>
      <c r="I29" s="7" t="s">
        <v>2796</v>
      </c>
      <c r="J29" s="7"/>
      <c r="K29" s="7"/>
      <c r="L29" s="7"/>
      <c r="M29" s="7"/>
      <c r="N29" s="7"/>
      <c r="O29" s="7"/>
      <c r="P29" s="7"/>
      <c r="Q29" s="8" t="s">
        <v>2973</v>
      </c>
      <c r="R29" s="7"/>
      <c r="S29" s="7"/>
      <c r="T29" s="7" t="s">
        <v>2974</v>
      </c>
    </row>
    <row r="30" customFormat="false" ht="23.85" hidden="false" customHeight="false" outlineLevel="0" collapsed="false">
      <c r="A30" s="7" t="s">
        <v>2975</v>
      </c>
      <c r="B30" s="7" t="s">
        <v>78</v>
      </c>
      <c r="C30" s="7" t="s">
        <v>2755</v>
      </c>
      <c r="D30" s="7" t="s">
        <v>81</v>
      </c>
      <c r="E30" s="7" t="s">
        <v>289</v>
      </c>
      <c r="F30" s="7" t="s">
        <v>290</v>
      </c>
      <c r="G30" s="7" t="s">
        <v>2976</v>
      </c>
      <c r="H30" s="7" t="s">
        <v>2977</v>
      </c>
      <c r="I30" s="7" t="s">
        <v>2796</v>
      </c>
      <c r="J30" s="7"/>
      <c r="K30" s="7"/>
      <c r="L30" s="7"/>
      <c r="M30" s="7"/>
      <c r="N30" s="7"/>
      <c r="O30" s="7"/>
      <c r="P30" s="7"/>
      <c r="Q30" s="8" t="s">
        <v>2978</v>
      </c>
      <c r="R30" s="7"/>
      <c r="S30" s="7"/>
      <c r="T30" s="7"/>
    </row>
    <row r="31" customFormat="false" ht="23.85" hidden="false" customHeight="false" outlineLevel="0" collapsed="false">
      <c r="A31" s="7" t="s">
        <v>2979</v>
      </c>
      <c r="B31" s="7" t="s">
        <v>98</v>
      </c>
      <c r="C31" s="7" t="s">
        <v>1677</v>
      </c>
      <c r="D31" s="7" t="s">
        <v>81</v>
      </c>
      <c r="E31" s="7" t="s">
        <v>289</v>
      </c>
      <c r="F31" s="7" t="s">
        <v>289</v>
      </c>
      <c r="G31" s="7" t="s">
        <v>2980</v>
      </c>
      <c r="H31" s="7" t="s">
        <v>2981</v>
      </c>
      <c r="I31" s="7" t="s">
        <v>2982</v>
      </c>
      <c r="J31" s="7" t="s">
        <v>2983</v>
      </c>
      <c r="K31" s="8" t="s">
        <v>1680</v>
      </c>
      <c r="L31" s="7"/>
      <c r="M31" s="7"/>
      <c r="N31" s="7"/>
      <c r="O31" s="7"/>
      <c r="P31" s="7"/>
      <c r="Q31" s="8" t="s">
        <v>1680</v>
      </c>
      <c r="R31" s="7"/>
      <c r="S31" s="7"/>
      <c r="T31" s="7"/>
    </row>
    <row r="32" customFormat="false" ht="15" hidden="false" customHeight="false" outlineLevel="0" collapsed="false">
      <c r="A32" s="7" t="s">
        <v>2984</v>
      </c>
      <c r="B32" s="7" t="s">
        <v>78</v>
      </c>
      <c r="C32" s="7" t="s">
        <v>2985</v>
      </c>
      <c r="D32" s="7" t="s">
        <v>81</v>
      </c>
      <c r="E32" s="7" t="s">
        <v>289</v>
      </c>
      <c r="F32" s="7" t="s">
        <v>289</v>
      </c>
      <c r="G32" s="7" t="s">
        <v>2786</v>
      </c>
      <c r="H32" s="7" t="s">
        <v>2986</v>
      </c>
      <c r="I32" s="7" t="s">
        <v>2796</v>
      </c>
      <c r="J32" s="7"/>
      <c r="K32" s="7"/>
      <c r="L32" s="7"/>
      <c r="M32" s="7"/>
      <c r="N32" s="7"/>
      <c r="O32" s="7"/>
      <c r="P32" s="7"/>
      <c r="Q32" s="8" t="s">
        <v>301</v>
      </c>
      <c r="R32" s="7"/>
      <c r="S32" s="7"/>
      <c r="T32" s="7"/>
    </row>
    <row r="33" customFormat="false" ht="35.05" hidden="false" customHeight="false" outlineLevel="0" collapsed="false">
      <c r="A33" s="7" t="s">
        <v>2987</v>
      </c>
      <c r="B33" s="7" t="s">
        <v>78</v>
      </c>
      <c r="C33" s="7" t="s">
        <v>2769</v>
      </c>
      <c r="D33" s="7" t="s">
        <v>81</v>
      </c>
      <c r="E33" s="7" t="s">
        <v>289</v>
      </c>
      <c r="F33" s="7" t="s">
        <v>2988</v>
      </c>
      <c r="G33" s="7" t="s">
        <v>2989</v>
      </c>
      <c r="H33" s="7" t="s">
        <v>2990</v>
      </c>
      <c r="I33" s="7"/>
      <c r="J33" s="7"/>
      <c r="K33" s="7"/>
      <c r="L33" s="7"/>
      <c r="M33" s="7"/>
      <c r="N33" s="7"/>
      <c r="O33" s="7"/>
      <c r="P33" s="7"/>
      <c r="Q33" s="8" t="s">
        <v>2991</v>
      </c>
      <c r="R33" s="7" t="s">
        <v>2992</v>
      </c>
      <c r="S33" s="7"/>
      <c r="T33" s="7"/>
    </row>
    <row r="34" customFormat="false" ht="15" hidden="false" customHeight="false" outlineLevel="0" collapsed="false">
      <c r="A34" s="7" t="s">
        <v>2993</v>
      </c>
      <c r="B34" s="7" t="s">
        <v>78</v>
      </c>
      <c r="C34" s="7" t="s">
        <v>2994</v>
      </c>
      <c r="D34" s="7" t="s">
        <v>81</v>
      </c>
      <c r="E34" s="7" t="s">
        <v>289</v>
      </c>
      <c r="F34" s="7" t="s">
        <v>2995</v>
      </c>
      <c r="G34" s="7" t="s">
        <v>2996</v>
      </c>
      <c r="H34" s="7" t="s">
        <v>2997</v>
      </c>
      <c r="I34" s="7" t="s">
        <v>2796</v>
      </c>
      <c r="J34" s="7"/>
      <c r="K34" s="7"/>
      <c r="L34" s="7"/>
      <c r="M34" s="7"/>
      <c r="N34" s="7"/>
      <c r="O34" s="7"/>
      <c r="P34" s="7"/>
      <c r="Q34" s="8" t="s">
        <v>301</v>
      </c>
      <c r="R34" s="7"/>
      <c r="S34" s="7"/>
      <c r="T34" s="7"/>
    </row>
    <row r="35" customFormat="false" ht="15" hidden="false" customHeight="false" outlineLevel="0" collapsed="false">
      <c r="A35" s="7" t="s">
        <v>2998</v>
      </c>
      <c r="B35" s="7" t="s">
        <v>78</v>
      </c>
      <c r="C35" s="7" t="s">
        <v>2999</v>
      </c>
      <c r="D35" s="7" t="s">
        <v>306</v>
      </c>
      <c r="E35" s="7" t="s">
        <v>1762</v>
      </c>
      <c r="F35" s="7" t="s">
        <v>1763</v>
      </c>
      <c r="G35" s="7" t="s">
        <v>3000</v>
      </c>
      <c r="H35" s="7" t="s">
        <v>3001</v>
      </c>
      <c r="I35" s="7" t="s">
        <v>2796</v>
      </c>
      <c r="J35" s="7"/>
      <c r="K35" s="7"/>
      <c r="L35" s="7"/>
      <c r="M35" s="7"/>
      <c r="N35" s="7"/>
      <c r="O35" s="7"/>
      <c r="P35" s="7"/>
      <c r="Q35" s="8" t="s">
        <v>3002</v>
      </c>
      <c r="R35" s="7"/>
      <c r="S35" s="7"/>
      <c r="T35" s="7"/>
    </row>
    <row r="36" customFormat="false" ht="57.45" hidden="false" customHeight="false" outlineLevel="0" collapsed="false">
      <c r="A36" s="7" t="s">
        <v>3003</v>
      </c>
      <c r="B36" s="7" t="s">
        <v>78</v>
      </c>
      <c r="C36" s="7" t="s">
        <v>3004</v>
      </c>
      <c r="D36" s="7" t="s">
        <v>306</v>
      </c>
      <c r="E36" s="7" t="s">
        <v>1762</v>
      </c>
      <c r="F36" s="7" t="s">
        <v>1829</v>
      </c>
      <c r="G36" s="7" t="s">
        <v>3005</v>
      </c>
      <c r="H36" s="7" t="s">
        <v>3006</v>
      </c>
      <c r="I36" s="7" t="s">
        <v>3007</v>
      </c>
      <c r="J36" s="7" t="s">
        <v>3008</v>
      </c>
      <c r="K36" s="8" t="s">
        <v>3009</v>
      </c>
      <c r="L36" s="8" t="s">
        <v>3010</v>
      </c>
      <c r="M36" s="7"/>
      <c r="N36" s="7"/>
      <c r="O36" s="7"/>
      <c r="P36" s="7"/>
      <c r="Q36" s="8" t="s">
        <v>3011</v>
      </c>
      <c r="R36" s="7"/>
      <c r="S36" s="7"/>
      <c r="T36" s="7" t="s">
        <v>3012</v>
      </c>
    </row>
    <row r="37" customFormat="false" ht="15" hidden="false" customHeight="false" outlineLevel="0" collapsed="false">
      <c r="A37" s="7" t="s">
        <v>3013</v>
      </c>
      <c r="B37" s="7" t="s">
        <v>98</v>
      </c>
      <c r="C37" s="7" t="s">
        <v>3014</v>
      </c>
      <c r="D37" s="7" t="s">
        <v>101</v>
      </c>
      <c r="E37" s="7" t="s">
        <v>318</v>
      </c>
      <c r="F37" s="7" t="s">
        <v>319</v>
      </c>
      <c r="G37" s="7" t="s">
        <v>3015</v>
      </c>
      <c r="H37" s="7" t="s">
        <v>3016</v>
      </c>
      <c r="I37" s="7" t="s">
        <v>2796</v>
      </c>
      <c r="J37" s="7"/>
      <c r="K37" s="7"/>
      <c r="L37" s="7"/>
      <c r="M37" s="7"/>
      <c r="N37" s="7"/>
      <c r="O37" s="7"/>
      <c r="P37" s="7"/>
      <c r="Q37" s="8" t="s">
        <v>1962</v>
      </c>
      <c r="R37" s="7" t="s">
        <v>2912</v>
      </c>
      <c r="S37" s="7"/>
      <c r="T37" s="7"/>
    </row>
    <row r="38" customFormat="false" ht="15" hidden="false" customHeight="false" outlineLevel="0" collapsed="false">
      <c r="A38" s="7" t="s">
        <v>3017</v>
      </c>
      <c r="B38" s="7" t="s">
        <v>98</v>
      </c>
      <c r="C38" s="7" t="s">
        <v>3018</v>
      </c>
      <c r="D38" s="7" t="s">
        <v>101</v>
      </c>
      <c r="E38" s="7" t="s">
        <v>318</v>
      </c>
      <c r="F38" s="7" t="s">
        <v>319</v>
      </c>
      <c r="G38" s="7" t="s">
        <v>2786</v>
      </c>
      <c r="H38" s="7" t="s">
        <v>3019</v>
      </c>
      <c r="I38" s="7" t="s">
        <v>2796</v>
      </c>
      <c r="J38" s="7"/>
      <c r="K38" s="7"/>
      <c r="L38" s="7"/>
      <c r="M38" s="7"/>
      <c r="N38" s="7"/>
      <c r="O38" s="7"/>
      <c r="P38" s="7"/>
      <c r="Q38" s="8" t="s">
        <v>2939</v>
      </c>
      <c r="R38" s="7" t="s">
        <v>2912</v>
      </c>
      <c r="S38" s="7"/>
      <c r="T38" s="7"/>
    </row>
    <row r="39" customFormat="false" ht="23.85" hidden="false" customHeight="false" outlineLevel="0" collapsed="false">
      <c r="A39" s="7" t="s">
        <v>3020</v>
      </c>
      <c r="B39" s="7" t="s">
        <v>78</v>
      </c>
      <c r="C39" s="7" t="s">
        <v>3021</v>
      </c>
      <c r="D39" s="7" t="s">
        <v>101</v>
      </c>
      <c r="E39" s="7" t="s">
        <v>318</v>
      </c>
      <c r="F39" s="7" t="s">
        <v>319</v>
      </c>
      <c r="G39" s="7" t="s">
        <v>3022</v>
      </c>
      <c r="H39" s="7" t="s">
        <v>3023</v>
      </c>
      <c r="I39" s="7" t="s">
        <v>3024</v>
      </c>
      <c r="J39" s="7" t="s">
        <v>3025</v>
      </c>
      <c r="K39" s="8" t="s">
        <v>3026</v>
      </c>
      <c r="L39" s="7"/>
      <c r="M39" s="7"/>
      <c r="N39" s="7"/>
      <c r="O39" s="7"/>
      <c r="P39" s="7"/>
      <c r="Q39" s="8" t="s">
        <v>3026</v>
      </c>
      <c r="R39" s="7"/>
      <c r="S39" s="7"/>
      <c r="T39" s="7"/>
    </row>
    <row r="40" customFormat="false" ht="15" hidden="false" customHeight="false" outlineLevel="0" collapsed="false">
      <c r="A40" s="7" t="s">
        <v>3027</v>
      </c>
      <c r="B40" s="7" t="s">
        <v>78</v>
      </c>
      <c r="C40" s="7" t="s">
        <v>3028</v>
      </c>
      <c r="D40" s="7" t="s">
        <v>101</v>
      </c>
      <c r="E40" s="7" t="s">
        <v>318</v>
      </c>
      <c r="F40" s="7" t="s">
        <v>319</v>
      </c>
      <c r="G40" s="7" t="s">
        <v>3029</v>
      </c>
      <c r="H40" s="7" t="s">
        <v>3030</v>
      </c>
      <c r="I40" s="7" t="s">
        <v>2796</v>
      </c>
      <c r="J40" s="7" t="s">
        <v>3031</v>
      </c>
      <c r="K40" s="8" t="s">
        <v>3032</v>
      </c>
      <c r="L40" s="7"/>
      <c r="M40" s="7"/>
      <c r="N40" s="7"/>
      <c r="O40" s="7"/>
      <c r="P40" s="7"/>
      <c r="Q40" s="8" t="s">
        <v>3032</v>
      </c>
      <c r="R40" s="7"/>
      <c r="S40" s="7"/>
      <c r="T40" s="7"/>
    </row>
    <row r="41" customFormat="false" ht="23.85" hidden="false" customHeight="false" outlineLevel="0" collapsed="false">
      <c r="A41" s="7" t="s">
        <v>3033</v>
      </c>
      <c r="B41" s="7" t="s">
        <v>78</v>
      </c>
      <c r="C41" s="7" t="s">
        <v>3034</v>
      </c>
      <c r="D41" s="7" t="s">
        <v>101</v>
      </c>
      <c r="E41" s="7" t="s">
        <v>318</v>
      </c>
      <c r="F41" s="7" t="s">
        <v>319</v>
      </c>
      <c r="G41" s="7" t="s">
        <v>3035</v>
      </c>
      <c r="H41" s="7" t="s">
        <v>3036</v>
      </c>
      <c r="I41" s="7" t="s">
        <v>2796</v>
      </c>
      <c r="J41" s="7" t="s">
        <v>3037</v>
      </c>
      <c r="K41" s="8" t="s">
        <v>3038</v>
      </c>
      <c r="L41" s="7"/>
      <c r="M41" s="7"/>
      <c r="N41" s="7"/>
      <c r="O41" s="7"/>
      <c r="P41" s="7" t="s">
        <v>3039</v>
      </c>
      <c r="Q41" s="8" t="s">
        <v>3040</v>
      </c>
      <c r="R41" s="7"/>
      <c r="S41" s="7"/>
      <c r="T41" s="7" t="s">
        <v>3041</v>
      </c>
    </row>
    <row r="42" customFormat="false" ht="23.85" hidden="false" customHeight="false" outlineLevel="0" collapsed="false">
      <c r="A42" s="7" t="s">
        <v>3042</v>
      </c>
      <c r="B42" s="7" t="s">
        <v>78</v>
      </c>
      <c r="C42" s="7" t="s">
        <v>3043</v>
      </c>
      <c r="D42" s="7" t="s">
        <v>101</v>
      </c>
      <c r="E42" s="7" t="s">
        <v>318</v>
      </c>
      <c r="F42" s="7" t="s">
        <v>319</v>
      </c>
      <c r="G42" s="7" t="s">
        <v>3044</v>
      </c>
      <c r="H42" s="7" t="s">
        <v>3045</v>
      </c>
      <c r="I42" s="7" t="s">
        <v>2796</v>
      </c>
      <c r="J42" s="7"/>
      <c r="K42" s="7"/>
      <c r="L42" s="7"/>
      <c r="M42" s="7"/>
      <c r="N42" s="7"/>
      <c r="O42" s="8" t="s">
        <v>3046</v>
      </c>
      <c r="P42" s="7" t="s">
        <v>3047</v>
      </c>
      <c r="Q42" s="8" t="s">
        <v>1963</v>
      </c>
      <c r="R42" s="7"/>
      <c r="S42" s="7"/>
      <c r="T42" s="7" t="s">
        <v>3048</v>
      </c>
    </row>
    <row r="43" customFormat="false" ht="15" hidden="false" customHeight="false" outlineLevel="0" collapsed="false">
      <c r="A43" s="7" t="s">
        <v>3049</v>
      </c>
      <c r="B43" s="7" t="s">
        <v>78</v>
      </c>
      <c r="C43" s="7" t="s">
        <v>3050</v>
      </c>
      <c r="D43" s="7" t="s">
        <v>101</v>
      </c>
      <c r="E43" s="7" t="s">
        <v>318</v>
      </c>
      <c r="F43" s="7" t="s">
        <v>319</v>
      </c>
      <c r="G43" s="7" t="s">
        <v>3051</v>
      </c>
      <c r="H43" s="7" t="s">
        <v>3052</v>
      </c>
      <c r="I43" s="7" t="s">
        <v>2796</v>
      </c>
      <c r="J43" s="7" t="s">
        <v>3053</v>
      </c>
      <c r="K43" s="8" t="s">
        <v>3054</v>
      </c>
      <c r="L43" s="7"/>
      <c r="M43" s="7"/>
      <c r="N43" s="7"/>
      <c r="O43" s="7"/>
      <c r="P43" s="7"/>
      <c r="Q43" s="8" t="s">
        <v>3054</v>
      </c>
      <c r="R43" s="7"/>
      <c r="S43" s="7"/>
      <c r="T43" s="7"/>
    </row>
    <row r="44" customFormat="false" ht="15" hidden="false" customHeight="false" outlineLevel="0" collapsed="false">
      <c r="A44" s="7" t="s">
        <v>3055</v>
      </c>
      <c r="B44" s="7" t="s">
        <v>78</v>
      </c>
      <c r="C44" s="7" t="s">
        <v>3056</v>
      </c>
      <c r="D44" s="7" t="s">
        <v>101</v>
      </c>
      <c r="E44" s="7" t="s">
        <v>318</v>
      </c>
      <c r="F44" s="7" t="s">
        <v>319</v>
      </c>
      <c r="G44" s="7" t="s">
        <v>3057</v>
      </c>
      <c r="H44" s="7" t="s">
        <v>3058</v>
      </c>
      <c r="I44" s="7" t="s">
        <v>2796</v>
      </c>
      <c r="J44" s="7" t="s">
        <v>3059</v>
      </c>
      <c r="K44" s="8" t="s">
        <v>3060</v>
      </c>
      <c r="L44" s="7"/>
      <c r="M44" s="7"/>
      <c r="N44" s="7"/>
      <c r="O44" s="7"/>
      <c r="P44" s="7"/>
      <c r="Q44" s="8" t="s">
        <v>3060</v>
      </c>
      <c r="R44" s="7"/>
      <c r="S44" s="7"/>
      <c r="T44" s="7"/>
    </row>
    <row r="45" customFormat="false" ht="35.05" hidden="false" customHeight="false" outlineLevel="0" collapsed="false">
      <c r="A45" s="7" t="s">
        <v>3061</v>
      </c>
      <c r="B45" s="7" t="s">
        <v>78</v>
      </c>
      <c r="C45" s="7" t="s">
        <v>3062</v>
      </c>
      <c r="D45" s="7" t="s">
        <v>101</v>
      </c>
      <c r="E45" s="7" t="s">
        <v>318</v>
      </c>
      <c r="F45" s="7" t="s">
        <v>3063</v>
      </c>
      <c r="G45" s="7" t="s">
        <v>3064</v>
      </c>
      <c r="H45" s="7" t="s">
        <v>3065</v>
      </c>
      <c r="I45" s="7" t="s">
        <v>2796</v>
      </c>
      <c r="J45" s="7"/>
      <c r="K45" s="7"/>
      <c r="L45" s="7"/>
      <c r="M45" s="7"/>
      <c r="N45" s="7"/>
      <c r="O45" s="7"/>
      <c r="P45" s="7"/>
      <c r="Q45" s="8" t="s">
        <v>1963</v>
      </c>
      <c r="R45" s="7"/>
      <c r="S45" s="7"/>
      <c r="T45" s="7" t="s">
        <v>3066</v>
      </c>
    </row>
    <row r="46" customFormat="false" ht="15" hidden="false" customHeight="false" outlineLevel="0" collapsed="false">
      <c r="A46" s="7" t="s">
        <v>3067</v>
      </c>
      <c r="B46" s="7" t="s">
        <v>78</v>
      </c>
      <c r="C46" s="7" t="s">
        <v>3068</v>
      </c>
      <c r="D46" s="7" t="s">
        <v>101</v>
      </c>
      <c r="E46" s="7" t="s">
        <v>318</v>
      </c>
      <c r="F46" s="7" t="s">
        <v>1970</v>
      </c>
      <c r="G46" s="7" t="s">
        <v>3069</v>
      </c>
      <c r="H46" s="7" t="s">
        <v>3070</v>
      </c>
      <c r="I46" s="7" t="s">
        <v>3071</v>
      </c>
      <c r="J46" s="7"/>
      <c r="K46" s="7"/>
      <c r="L46" s="7"/>
      <c r="M46" s="7"/>
      <c r="N46" s="7"/>
      <c r="O46" s="7"/>
      <c r="P46" s="7"/>
      <c r="Q46" s="8" t="s">
        <v>1974</v>
      </c>
      <c r="R46" s="7"/>
      <c r="S46" s="7"/>
      <c r="T46" s="7" t="s">
        <v>3072</v>
      </c>
    </row>
    <row r="47" customFormat="false" ht="15" hidden="false" customHeight="false" outlineLevel="0" collapsed="false">
      <c r="A47" s="7" t="s">
        <v>3073</v>
      </c>
      <c r="B47" s="7" t="s">
        <v>78</v>
      </c>
      <c r="C47" s="7" t="s">
        <v>3074</v>
      </c>
      <c r="D47" s="7" t="s">
        <v>101</v>
      </c>
      <c r="E47" s="7" t="s">
        <v>318</v>
      </c>
      <c r="F47" s="7" t="s">
        <v>1984</v>
      </c>
      <c r="G47" s="7" t="s">
        <v>3075</v>
      </c>
      <c r="H47" s="7" t="s">
        <v>3076</v>
      </c>
      <c r="I47" s="7" t="s">
        <v>2796</v>
      </c>
      <c r="J47" s="7"/>
      <c r="K47" s="7"/>
      <c r="L47" s="7"/>
      <c r="M47" s="7"/>
      <c r="N47" s="7"/>
      <c r="O47" s="7"/>
      <c r="P47" s="7"/>
      <c r="Q47" s="8" t="s">
        <v>1992</v>
      </c>
      <c r="R47" s="7"/>
      <c r="S47" s="7"/>
      <c r="T47" s="7"/>
    </row>
    <row r="48" customFormat="false" ht="135.8" hidden="false" customHeight="false" outlineLevel="0" collapsed="false">
      <c r="A48" s="7" t="s">
        <v>3077</v>
      </c>
      <c r="B48" s="7" t="s">
        <v>98</v>
      </c>
      <c r="C48" s="7" t="s">
        <v>3078</v>
      </c>
      <c r="D48" s="7" t="s">
        <v>101</v>
      </c>
      <c r="E48" s="7" t="s">
        <v>102</v>
      </c>
      <c r="F48" s="7" t="s">
        <v>103</v>
      </c>
      <c r="G48" s="7" t="s">
        <v>3079</v>
      </c>
      <c r="H48" s="7" t="s">
        <v>3080</v>
      </c>
      <c r="I48" s="7" t="s">
        <v>3081</v>
      </c>
      <c r="J48" s="7"/>
      <c r="K48" s="7"/>
      <c r="L48" s="8" t="s">
        <v>3082</v>
      </c>
      <c r="M48" s="7"/>
      <c r="N48" s="7"/>
      <c r="O48" s="7"/>
      <c r="P48" s="7"/>
      <c r="Q48" s="8" t="s">
        <v>3083</v>
      </c>
      <c r="R48" s="7"/>
      <c r="S48" s="7"/>
      <c r="T48" s="7" t="s">
        <v>3084</v>
      </c>
    </row>
    <row r="49" customFormat="false" ht="15" hidden="false" customHeight="false" outlineLevel="0" collapsed="false">
      <c r="A49" s="7" t="s">
        <v>3085</v>
      </c>
      <c r="B49" s="7" t="s">
        <v>98</v>
      </c>
      <c r="C49" s="7" t="s">
        <v>3086</v>
      </c>
      <c r="D49" s="7" t="s">
        <v>101</v>
      </c>
      <c r="E49" s="7" t="s">
        <v>102</v>
      </c>
      <c r="F49" s="7" t="s">
        <v>103</v>
      </c>
      <c r="G49" s="7" t="s">
        <v>3087</v>
      </c>
      <c r="H49" s="7" t="s">
        <v>3088</v>
      </c>
      <c r="I49" s="7" t="s">
        <v>2796</v>
      </c>
      <c r="J49" s="7"/>
      <c r="K49" s="7"/>
      <c r="L49" s="7"/>
      <c r="M49" s="7"/>
      <c r="N49" s="7"/>
      <c r="O49" s="7"/>
      <c r="P49" s="7"/>
      <c r="Q49" s="8" t="s">
        <v>3089</v>
      </c>
      <c r="R49" s="7"/>
      <c r="S49" s="7"/>
      <c r="T49" s="7"/>
    </row>
    <row r="50" customFormat="false" ht="23.85" hidden="false" customHeight="false" outlineLevel="0" collapsed="false">
      <c r="A50" s="7" t="s">
        <v>3090</v>
      </c>
      <c r="B50" s="7" t="s">
        <v>98</v>
      </c>
      <c r="C50" s="7" t="s">
        <v>3091</v>
      </c>
      <c r="D50" s="7" t="s">
        <v>101</v>
      </c>
      <c r="E50" s="7" t="s">
        <v>102</v>
      </c>
      <c r="F50" s="7" t="s">
        <v>103</v>
      </c>
      <c r="G50" s="7" t="s">
        <v>3092</v>
      </c>
      <c r="H50" s="7" t="s">
        <v>3093</v>
      </c>
      <c r="I50" s="7" t="s">
        <v>3094</v>
      </c>
      <c r="J50" s="7"/>
      <c r="K50" s="7"/>
      <c r="L50" s="7"/>
      <c r="M50" s="7"/>
      <c r="N50" s="7"/>
      <c r="O50" s="7"/>
      <c r="P50" s="7"/>
      <c r="Q50" s="8" t="s">
        <v>3095</v>
      </c>
      <c r="R50" s="7"/>
      <c r="S50" s="7"/>
      <c r="T50" s="7" t="s">
        <v>3096</v>
      </c>
    </row>
    <row r="51" customFormat="false" ht="35.05" hidden="false" customHeight="false" outlineLevel="0" collapsed="false">
      <c r="A51" s="7" t="s">
        <v>3097</v>
      </c>
      <c r="B51" s="7" t="s">
        <v>78</v>
      </c>
      <c r="C51" s="7" t="s">
        <v>2759</v>
      </c>
      <c r="D51" s="7" t="s">
        <v>101</v>
      </c>
      <c r="E51" s="7" t="s">
        <v>102</v>
      </c>
      <c r="F51" s="7" t="s">
        <v>103</v>
      </c>
      <c r="G51" s="7" t="s">
        <v>3098</v>
      </c>
      <c r="H51" s="7" t="s">
        <v>3099</v>
      </c>
      <c r="I51" s="7" t="s">
        <v>3100</v>
      </c>
      <c r="J51" s="7"/>
      <c r="K51" s="7"/>
      <c r="L51" s="7"/>
      <c r="M51" s="7"/>
      <c r="N51" s="7"/>
      <c r="O51" s="7"/>
      <c r="P51" s="7"/>
      <c r="Q51" s="8" t="s">
        <v>3101</v>
      </c>
      <c r="R51" s="7"/>
      <c r="S51" s="7"/>
      <c r="T51" s="7" t="s">
        <v>3102</v>
      </c>
    </row>
    <row r="52" customFormat="false" ht="15" hidden="false" customHeight="false" outlineLevel="0" collapsed="false">
      <c r="A52" s="7" t="s">
        <v>3103</v>
      </c>
      <c r="B52" s="7" t="s">
        <v>78</v>
      </c>
      <c r="C52" s="7" t="s">
        <v>3104</v>
      </c>
      <c r="D52" s="7" t="s">
        <v>101</v>
      </c>
      <c r="E52" s="7" t="s">
        <v>102</v>
      </c>
      <c r="F52" s="7" t="s">
        <v>103</v>
      </c>
      <c r="G52" s="7" t="s">
        <v>3105</v>
      </c>
      <c r="H52" s="7" t="s">
        <v>3106</v>
      </c>
      <c r="I52" s="7" t="s">
        <v>2802</v>
      </c>
      <c r="J52" s="7"/>
      <c r="K52" s="7"/>
      <c r="L52" s="7"/>
      <c r="M52" s="7"/>
      <c r="N52" s="7"/>
      <c r="O52" s="7"/>
      <c r="P52" s="7"/>
      <c r="Q52" s="8" t="s">
        <v>2026</v>
      </c>
      <c r="R52" s="7"/>
      <c r="S52" s="7"/>
      <c r="T52" s="7"/>
    </row>
    <row r="53" customFormat="false" ht="23.85" hidden="false" customHeight="false" outlineLevel="0" collapsed="false">
      <c r="A53" s="7" t="s">
        <v>3107</v>
      </c>
      <c r="B53" s="7" t="s">
        <v>78</v>
      </c>
      <c r="C53" s="7" t="s">
        <v>3108</v>
      </c>
      <c r="D53" s="7" t="s">
        <v>101</v>
      </c>
      <c r="E53" s="7" t="s">
        <v>102</v>
      </c>
      <c r="F53" s="7" t="s">
        <v>103</v>
      </c>
      <c r="G53" s="7" t="s">
        <v>3109</v>
      </c>
      <c r="H53" s="7" t="s">
        <v>3110</v>
      </c>
      <c r="I53" s="7" t="s">
        <v>3111</v>
      </c>
      <c r="J53" s="7"/>
      <c r="K53" s="7"/>
      <c r="L53" s="7"/>
      <c r="M53" s="7"/>
      <c r="N53" s="7"/>
      <c r="O53" s="7"/>
      <c r="P53" s="7"/>
      <c r="Q53" s="8" t="s">
        <v>2026</v>
      </c>
      <c r="R53" s="7"/>
      <c r="S53" s="7"/>
      <c r="T53" s="7"/>
    </row>
    <row r="54" customFormat="false" ht="23.85" hidden="false" customHeight="false" outlineLevel="0" collapsed="false">
      <c r="A54" s="7" t="s">
        <v>3112</v>
      </c>
      <c r="B54" s="7" t="s">
        <v>78</v>
      </c>
      <c r="C54" s="7" t="s">
        <v>3113</v>
      </c>
      <c r="D54" s="7" t="s">
        <v>101</v>
      </c>
      <c r="E54" s="7" t="s">
        <v>102</v>
      </c>
      <c r="F54" s="7" t="s">
        <v>103</v>
      </c>
      <c r="G54" s="7" t="s">
        <v>3114</v>
      </c>
      <c r="H54" s="7" t="s">
        <v>3115</v>
      </c>
      <c r="I54" s="7" t="s">
        <v>2802</v>
      </c>
      <c r="J54" s="7" t="s">
        <v>3116</v>
      </c>
      <c r="K54" s="8" t="s">
        <v>3117</v>
      </c>
      <c r="L54" s="7"/>
      <c r="M54" s="7"/>
      <c r="N54" s="7"/>
      <c r="O54" s="7"/>
      <c r="P54" s="7"/>
      <c r="Q54" s="8" t="s">
        <v>3118</v>
      </c>
      <c r="R54" s="7"/>
      <c r="S54" s="7"/>
      <c r="T54" s="7"/>
    </row>
    <row r="55" customFormat="false" ht="15" hidden="false" customHeight="false" outlineLevel="0" collapsed="false">
      <c r="A55" s="7" t="s">
        <v>3119</v>
      </c>
      <c r="B55" s="7" t="s">
        <v>78</v>
      </c>
      <c r="C55" s="7" t="s">
        <v>3120</v>
      </c>
      <c r="D55" s="7" t="s">
        <v>101</v>
      </c>
      <c r="E55" s="7" t="s">
        <v>102</v>
      </c>
      <c r="F55" s="7" t="s">
        <v>103</v>
      </c>
      <c r="G55" s="7" t="s">
        <v>3121</v>
      </c>
      <c r="H55" s="7" t="s">
        <v>3122</v>
      </c>
      <c r="I55" s="7" t="s">
        <v>2796</v>
      </c>
      <c r="J55" s="7" t="s">
        <v>3123</v>
      </c>
      <c r="K55" s="8" t="s">
        <v>3124</v>
      </c>
      <c r="L55" s="7"/>
      <c r="M55" s="7"/>
      <c r="N55" s="7"/>
      <c r="O55" s="7"/>
      <c r="P55" s="7"/>
      <c r="Q55" s="8" t="s">
        <v>3125</v>
      </c>
      <c r="R55" s="7"/>
      <c r="S55" s="7"/>
      <c r="T55" s="7"/>
    </row>
    <row r="56" customFormat="false" ht="102.2" hidden="false" customHeight="false" outlineLevel="0" collapsed="false">
      <c r="A56" s="7" t="s">
        <v>3126</v>
      </c>
      <c r="B56" s="7" t="s">
        <v>78</v>
      </c>
      <c r="C56" s="7" t="s">
        <v>3127</v>
      </c>
      <c r="D56" s="7" t="s">
        <v>101</v>
      </c>
      <c r="E56" s="7" t="s">
        <v>102</v>
      </c>
      <c r="F56" s="7" t="s">
        <v>103</v>
      </c>
      <c r="G56" s="7" t="s">
        <v>3128</v>
      </c>
      <c r="H56" s="7" t="s">
        <v>3129</v>
      </c>
      <c r="I56" s="7" t="s">
        <v>3130</v>
      </c>
      <c r="J56" s="7" t="s">
        <v>3131</v>
      </c>
      <c r="K56" s="8" t="s">
        <v>3132</v>
      </c>
      <c r="L56" s="8" t="s">
        <v>3133</v>
      </c>
      <c r="M56" s="7"/>
      <c r="N56" s="7"/>
      <c r="O56" s="7"/>
      <c r="P56" s="7"/>
      <c r="Q56" s="8" t="s">
        <v>3134</v>
      </c>
      <c r="R56" s="7"/>
      <c r="S56" s="7"/>
      <c r="T56" s="7" t="s">
        <v>3135</v>
      </c>
    </row>
    <row r="57" customFormat="false" ht="79.85" hidden="false" customHeight="false" outlineLevel="0" collapsed="false">
      <c r="A57" s="7" t="s">
        <v>3136</v>
      </c>
      <c r="B57" s="7" t="s">
        <v>98</v>
      </c>
      <c r="C57" s="7" t="s">
        <v>3137</v>
      </c>
      <c r="D57" s="7" t="s">
        <v>101</v>
      </c>
      <c r="E57" s="7" t="s">
        <v>102</v>
      </c>
      <c r="F57" s="7" t="s">
        <v>3138</v>
      </c>
      <c r="G57" s="7" t="s">
        <v>3139</v>
      </c>
      <c r="H57" s="7" t="s">
        <v>3140</v>
      </c>
      <c r="I57" s="7" t="s">
        <v>2796</v>
      </c>
      <c r="J57" s="7"/>
      <c r="K57" s="7"/>
      <c r="L57" s="8" t="s">
        <v>3141</v>
      </c>
      <c r="M57" s="7"/>
      <c r="N57" s="7"/>
      <c r="O57" s="7"/>
      <c r="P57" s="7"/>
      <c r="Q57" s="8" t="s">
        <v>3141</v>
      </c>
      <c r="R57" s="7"/>
      <c r="S57" s="7"/>
      <c r="T57" s="7" t="s">
        <v>3142</v>
      </c>
    </row>
    <row r="58" customFormat="false" ht="15" hidden="false" customHeight="false" outlineLevel="0" collapsed="false">
      <c r="A58" s="7" t="s">
        <v>3143</v>
      </c>
      <c r="B58" s="7" t="s">
        <v>78</v>
      </c>
      <c r="C58" s="7" t="s">
        <v>3144</v>
      </c>
      <c r="D58" s="7" t="s">
        <v>101</v>
      </c>
      <c r="E58" s="7" t="s">
        <v>102</v>
      </c>
      <c r="F58" s="7" t="s">
        <v>3145</v>
      </c>
      <c r="G58" s="7" t="s">
        <v>3146</v>
      </c>
      <c r="H58" s="7" t="s">
        <v>3147</v>
      </c>
      <c r="I58" s="7" t="s">
        <v>2796</v>
      </c>
      <c r="J58" s="7"/>
      <c r="K58" s="7"/>
      <c r="L58" s="7"/>
      <c r="M58" s="7"/>
      <c r="N58" s="7"/>
      <c r="O58" s="7"/>
      <c r="P58" s="7"/>
      <c r="Q58" s="8" t="s">
        <v>2026</v>
      </c>
      <c r="R58" s="7"/>
      <c r="S58" s="7"/>
      <c r="T58" s="7"/>
    </row>
    <row r="59" customFormat="false" ht="68.65" hidden="false" customHeight="false" outlineLevel="0" collapsed="false">
      <c r="A59" s="7" t="s">
        <v>3148</v>
      </c>
      <c r="B59" s="7" t="s">
        <v>98</v>
      </c>
      <c r="C59" s="7" t="s">
        <v>2736</v>
      </c>
      <c r="D59" s="7" t="s">
        <v>101</v>
      </c>
      <c r="E59" s="7" t="s">
        <v>102</v>
      </c>
      <c r="F59" s="7" t="s">
        <v>3149</v>
      </c>
      <c r="G59" s="7" t="s">
        <v>3150</v>
      </c>
      <c r="H59" s="7" t="s">
        <v>3151</v>
      </c>
      <c r="I59" s="7" t="s">
        <v>3152</v>
      </c>
      <c r="J59" s="7"/>
      <c r="K59" s="7"/>
      <c r="L59" s="8" t="s">
        <v>3153</v>
      </c>
      <c r="M59" s="7" t="s">
        <v>3154</v>
      </c>
      <c r="N59" s="7"/>
      <c r="O59" s="8" t="s">
        <v>3155</v>
      </c>
      <c r="P59" s="7"/>
      <c r="Q59" s="8" t="s">
        <v>3156</v>
      </c>
      <c r="R59" s="7"/>
      <c r="S59" s="7"/>
      <c r="T59" s="7" t="s">
        <v>3157</v>
      </c>
    </row>
    <row r="60" customFormat="false" ht="23.85" hidden="false" customHeight="false" outlineLevel="0" collapsed="false">
      <c r="A60" s="7" t="s">
        <v>3158</v>
      </c>
      <c r="B60" s="7" t="s">
        <v>98</v>
      </c>
      <c r="C60" s="7" t="s">
        <v>3159</v>
      </c>
      <c r="D60" s="7" t="s">
        <v>101</v>
      </c>
      <c r="E60" s="7" t="s">
        <v>428</v>
      </c>
      <c r="F60" s="7" t="s">
        <v>429</v>
      </c>
      <c r="G60" s="7" t="s">
        <v>3160</v>
      </c>
      <c r="H60" s="7" t="s">
        <v>3161</v>
      </c>
      <c r="I60" s="7" t="s">
        <v>2796</v>
      </c>
      <c r="J60" s="7"/>
      <c r="K60" s="7"/>
      <c r="L60" s="7"/>
      <c r="M60" s="7"/>
      <c r="N60" s="7"/>
      <c r="O60" s="8" t="s">
        <v>3162</v>
      </c>
      <c r="P60" s="7" t="s">
        <v>3163</v>
      </c>
      <c r="Q60" s="8" t="s">
        <v>3162</v>
      </c>
      <c r="R60" s="7"/>
      <c r="S60" s="7"/>
      <c r="T60" s="7"/>
    </row>
    <row r="61" customFormat="false" ht="23.85" hidden="false" customHeight="false" outlineLevel="0" collapsed="false">
      <c r="A61" s="7" t="s">
        <v>3164</v>
      </c>
      <c r="B61" s="7" t="s">
        <v>98</v>
      </c>
      <c r="C61" s="7" t="s">
        <v>3165</v>
      </c>
      <c r="D61" s="7" t="s">
        <v>101</v>
      </c>
      <c r="E61" s="7" t="s">
        <v>428</v>
      </c>
      <c r="F61" s="7" t="s">
        <v>429</v>
      </c>
      <c r="G61" s="7" t="s">
        <v>3166</v>
      </c>
      <c r="H61" s="7" t="s">
        <v>3167</v>
      </c>
      <c r="I61" s="7" t="s">
        <v>3094</v>
      </c>
      <c r="J61" s="7" t="s">
        <v>3168</v>
      </c>
      <c r="K61" s="8" t="s">
        <v>3169</v>
      </c>
      <c r="L61" s="7"/>
      <c r="M61" s="7"/>
      <c r="N61" s="7"/>
      <c r="O61" s="7"/>
      <c r="P61" s="7"/>
      <c r="Q61" s="8" t="s">
        <v>3170</v>
      </c>
      <c r="R61" s="7"/>
      <c r="S61" s="7"/>
      <c r="T61" s="7"/>
    </row>
    <row r="62" customFormat="false" ht="15" hidden="false" customHeight="false" outlineLevel="0" collapsed="false">
      <c r="A62" s="7" t="s">
        <v>3171</v>
      </c>
      <c r="B62" s="7" t="s">
        <v>78</v>
      </c>
      <c r="C62" s="7" t="s">
        <v>3172</v>
      </c>
      <c r="D62" s="7" t="s">
        <v>101</v>
      </c>
      <c r="E62" s="7" t="s">
        <v>428</v>
      </c>
      <c r="F62" s="7" t="s">
        <v>429</v>
      </c>
      <c r="G62" s="7" t="s">
        <v>3173</v>
      </c>
      <c r="H62" s="7" t="s">
        <v>3174</v>
      </c>
      <c r="I62" s="7" t="s">
        <v>2796</v>
      </c>
      <c r="J62" s="7"/>
      <c r="K62" s="7"/>
      <c r="L62" s="7"/>
      <c r="M62" s="7"/>
      <c r="N62" s="7"/>
      <c r="O62" s="7"/>
      <c r="P62" s="7"/>
      <c r="Q62" s="8" t="s">
        <v>3175</v>
      </c>
      <c r="R62" s="7"/>
      <c r="S62" s="7"/>
      <c r="T62" s="7" t="s">
        <v>3176</v>
      </c>
    </row>
    <row r="63" customFormat="false" ht="35.05" hidden="false" customHeight="false" outlineLevel="0" collapsed="false">
      <c r="A63" s="7" t="s">
        <v>3177</v>
      </c>
      <c r="B63" s="7" t="s">
        <v>78</v>
      </c>
      <c r="C63" s="7" t="s">
        <v>3178</v>
      </c>
      <c r="D63" s="7" t="s">
        <v>101</v>
      </c>
      <c r="E63" s="7" t="s">
        <v>428</v>
      </c>
      <c r="F63" s="7" t="s">
        <v>2131</v>
      </c>
      <c r="G63" s="7" t="s">
        <v>3179</v>
      </c>
      <c r="H63" s="7" t="s">
        <v>3180</v>
      </c>
      <c r="I63" s="7" t="s">
        <v>2796</v>
      </c>
      <c r="J63" s="7"/>
      <c r="K63" s="7"/>
      <c r="L63" s="7"/>
      <c r="M63" s="7"/>
      <c r="N63" s="7"/>
      <c r="O63" s="7"/>
      <c r="P63" s="7"/>
      <c r="Q63" s="8" t="s">
        <v>2135</v>
      </c>
      <c r="R63" s="7"/>
      <c r="S63" s="7"/>
      <c r="T63" s="7" t="s">
        <v>3181</v>
      </c>
    </row>
    <row r="64" customFormat="false" ht="15" hidden="false" customHeight="false" outlineLevel="0" collapsed="false">
      <c r="A64" s="7" t="s">
        <v>3182</v>
      </c>
      <c r="B64" s="7" t="s">
        <v>78</v>
      </c>
      <c r="C64" s="7" t="s">
        <v>2776</v>
      </c>
      <c r="D64" s="7" t="s">
        <v>101</v>
      </c>
      <c r="E64" s="7" t="s">
        <v>459</v>
      </c>
      <c r="F64" s="7" t="s">
        <v>2266</v>
      </c>
      <c r="G64" s="7" t="s">
        <v>3183</v>
      </c>
      <c r="H64" s="7" t="s">
        <v>3184</v>
      </c>
      <c r="I64" s="7" t="s">
        <v>2796</v>
      </c>
      <c r="J64" s="7"/>
      <c r="K64" s="7"/>
      <c r="L64" s="7"/>
      <c r="M64" s="7"/>
      <c r="N64" s="7"/>
      <c r="O64" s="7"/>
      <c r="P64" s="7"/>
      <c r="Q64" s="8" t="s">
        <v>2270</v>
      </c>
      <c r="R64" s="7"/>
      <c r="S64" s="7"/>
      <c r="T64" s="7"/>
    </row>
    <row r="65" customFormat="false" ht="23.85" hidden="false" customHeight="false" outlineLevel="0" collapsed="false">
      <c r="A65" s="7" t="s">
        <v>3185</v>
      </c>
      <c r="B65" s="7" t="s">
        <v>78</v>
      </c>
      <c r="C65" s="7" t="s">
        <v>3186</v>
      </c>
      <c r="D65" s="7" t="s">
        <v>101</v>
      </c>
      <c r="E65" s="7" t="s">
        <v>589</v>
      </c>
      <c r="F65" s="7" t="s">
        <v>3187</v>
      </c>
      <c r="G65" s="7" t="s">
        <v>3188</v>
      </c>
      <c r="H65" s="7" t="s">
        <v>3189</v>
      </c>
      <c r="I65" s="7" t="s">
        <v>3190</v>
      </c>
      <c r="J65" s="7" t="s">
        <v>3191</v>
      </c>
      <c r="K65" s="8" t="s">
        <v>3192</v>
      </c>
      <c r="L65" s="8" t="s">
        <v>3193</v>
      </c>
      <c r="M65" s="7"/>
      <c r="N65" s="7"/>
      <c r="O65" s="7"/>
      <c r="P65" s="7"/>
      <c r="Q65" s="8" t="s">
        <v>3193</v>
      </c>
      <c r="R65" s="7"/>
      <c r="S65" s="7"/>
      <c r="T65" s="7"/>
    </row>
    <row r="66" customFormat="false" ht="15" hidden="false" customHeight="false" outlineLevel="0" collapsed="false">
      <c r="A66" s="7" t="s">
        <v>3194</v>
      </c>
      <c r="B66" s="7" t="s">
        <v>98</v>
      </c>
      <c r="C66" s="7" t="s">
        <v>3195</v>
      </c>
      <c r="D66" s="7" t="s">
        <v>101</v>
      </c>
      <c r="E66" s="7" t="s">
        <v>589</v>
      </c>
      <c r="F66" s="7" t="s">
        <v>2284</v>
      </c>
      <c r="G66" s="7" t="s">
        <v>3196</v>
      </c>
      <c r="H66" s="7" t="s">
        <v>3197</v>
      </c>
      <c r="I66" s="7" t="s">
        <v>2796</v>
      </c>
      <c r="J66" s="7"/>
      <c r="K66" s="7"/>
      <c r="L66" s="7"/>
      <c r="M66" s="7"/>
      <c r="N66" s="7"/>
      <c r="O66" s="7"/>
      <c r="P66" s="7"/>
      <c r="Q66" s="8" t="s">
        <v>3198</v>
      </c>
      <c r="R66" s="7"/>
      <c r="S66" s="7"/>
      <c r="T66" s="7" t="s">
        <v>193</v>
      </c>
    </row>
    <row r="67" customFormat="false" ht="68.65" hidden="false" customHeight="false" outlineLevel="0" collapsed="false">
      <c r="A67" s="7" t="s">
        <v>3199</v>
      </c>
      <c r="B67" s="7" t="s">
        <v>78</v>
      </c>
      <c r="C67" s="7" t="s">
        <v>3200</v>
      </c>
      <c r="D67" s="7" t="s">
        <v>101</v>
      </c>
      <c r="E67" s="7" t="s">
        <v>2333</v>
      </c>
      <c r="F67" s="7" t="s">
        <v>2333</v>
      </c>
      <c r="G67" s="7" t="s">
        <v>3201</v>
      </c>
      <c r="H67" s="7" t="s">
        <v>3202</v>
      </c>
      <c r="I67" s="7" t="s">
        <v>2796</v>
      </c>
      <c r="J67" s="7"/>
      <c r="K67" s="7"/>
      <c r="L67" s="8" t="s">
        <v>3203</v>
      </c>
      <c r="M67" s="7"/>
      <c r="N67" s="7"/>
      <c r="O67" s="7"/>
      <c r="P67" s="7"/>
      <c r="Q67" s="8" t="s">
        <v>3203</v>
      </c>
      <c r="R67" s="7"/>
      <c r="S67" s="7"/>
      <c r="T67" s="7" t="s">
        <v>3204</v>
      </c>
    </row>
    <row r="68" customFormat="false" ht="15" hidden="false" customHeight="false" outlineLevel="0" collapsed="false">
      <c r="A68" s="7" t="s">
        <v>3205</v>
      </c>
      <c r="B68" s="7" t="s">
        <v>78</v>
      </c>
      <c r="C68" s="7" t="s">
        <v>3206</v>
      </c>
      <c r="D68" s="7" t="s">
        <v>101</v>
      </c>
      <c r="E68" s="7" t="s">
        <v>2333</v>
      </c>
      <c r="F68" s="7" t="s">
        <v>2333</v>
      </c>
      <c r="G68" s="7" t="s">
        <v>3207</v>
      </c>
      <c r="H68" s="7" t="s">
        <v>3208</v>
      </c>
      <c r="I68" s="7" t="s">
        <v>2796</v>
      </c>
      <c r="J68" s="7"/>
      <c r="K68" s="7"/>
      <c r="L68" s="8" t="s">
        <v>3209</v>
      </c>
      <c r="M68" s="7"/>
      <c r="N68" s="7"/>
      <c r="O68" s="7"/>
      <c r="P68" s="7"/>
      <c r="Q68" s="8" t="s">
        <v>3210</v>
      </c>
      <c r="R68" s="7"/>
      <c r="S68" s="7"/>
      <c r="T68" s="7"/>
    </row>
    <row r="69" customFormat="false" ht="23.85" hidden="false" customHeight="false" outlineLevel="0" collapsed="false">
      <c r="A69" s="7" t="s">
        <v>3211</v>
      </c>
      <c r="B69" s="7" t="s">
        <v>78</v>
      </c>
      <c r="C69" s="7" t="s">
        <v>3212</v>
      </c>
      <c r="D69" s="7" t="s">
        <v>101</v>
      </c>
      <c r="E69" s="7" t="s">
        <v>2360</v>
      </c>
      <c r="F69" s="7" t="s">
        <v>2378</v>
      </c>
      <c r="G69" s="7" t="s">
        <v>2976</v>
      </c>
      <c r="H69" s="7" t="s">
        <v>3213</v>
      </c>
      <c r="I69" s="7" t="s">
        <v>2796</v>
      </c>
      <c r="J69" s="7"/>
      <c r="K69" s="7"/>
      <c r="L69" s="7"/>
      <c r="M69" s="7"/>
      <c r="N69" s="7"/>
      <c r="O69" s="7"/>
      <c r="P69" s="7"/>
      <c r="Q69" s="8" t="s">
        <v>2383</v>
      </c>
      <c r="R69" s="7"/>
      <c r="S69" s="7"/>
      <c r="T69" s="7" t="s">
        <v>3214</v>
      </c>
    </row>
    <row r="70" customFormat="false" ht="15" hidden="false" customHeight="false" outlineLevel="0" collapsed="false">
      <c r="A70" s="7" t="s">
        <v>3215</v>
      </c>
      <c r="B70" s="7" t="s">
        <v>98</v>
      </c>
      <c r="C70" s="7" t="s">
        <v>3216</v>
      </c>
      <c r="D70" s="7" t="s">
        <v>101</v>
      </c>
      <c r="E70" s="7" t="s">
        <v>2360</v>
      </c>
      <c r="F70" s="7" t="s">
        <v>3217</v>
      </c>
      <c r="G70" s="7" t="s">
        <v>2976</v>
      </c>
      <c r="H70" s="7" t="s">
        <v>3218</v>
      </c>
      <c r="I70" s="7" t="s">
        <v>2796</v>
      </c>
      <c r="J70" s="7"/>
      <c r="K70" s="7"/>
      <c r="L70" s="7"/>
      <c r="M70" s="7"/>
      <c r="N70" s="7"/>
      <c r="O70" s="7"/>
      <c r="P70" s="7"/>
      <c r="Q70" s="8" t="s">
        <v>3219</v>
      </c>
      <c r="R70" s="7"/>
      <c r="S70" s="7"/>
      <c r="T70" s="7"/>
    </row>
    <row r="71" customFormat="false" ht="15" hidden="false" customHeight="false" outlineLevel="0" collapsed="false">
      <c r="A71" s="7" t="s">
        <v>3220</v>
      </c>
      <c r="B71" s="7" t="s">
        <v>78</v>
      </c>
      <c r="C71" s="7" t="s">
        <v>3221</v>
      </c>
      <c r="D71" s="7" t="s">
        <v>101</v>
      </c>
      <c r="E71" s="7" t="s">
        <v>2420</v>
      </c>
      <c r="F71" s="7" t="s">
        <v>2421</v>
      </c>
      <c r="G71" s="7" t="s">
        <v>2976</v>
      </c>
      <c r="H71" s="7" t="s">
        <v>3222</v>
      </c>
      <c r="I71" s="7" t="s">
        <v>2796</v>
      </c>
      <c r="J71" s="7"/>
      <c r="K71" s="7"/>
      <c r="L71" s="7"/>
      <c r="M71" s="7"/>
      <c r="N71" s="7"/>
      <c r="O71" s="7"/>
      <c r="P71" s="7"/>
      <c r="Q71" s="8" t="s">
        <v>3223</v>
      </c>
      <c r="R71" s="7"/>
      <c r="S71" s="7"/>
      <c r="T71" s="7"/>
    </row>
    <row r="72" customFormat="false" ht="35.05" hidden="false" customHeight="false" outlineLevel="0" collapsed="false">
      <c r="A72" s="7" t="s">
        <v>3224</v>
      </c>
      <c r="B72" s="7" t="s">
        <v>78</v>
      </c>
      <c r="C72" s="7" t="s">
        <v>2766</v>
      </c>
      <c r="D72" s="7" t="s">
        <v>101</v>
      </c>
      <c r="E72" s="7" t="s">
        <v>3225</v>
      </c>
      <c r="F72" s="7" t="s">
        <v>3226</v>
      </c>
      <c r="G72" s="7" t="s">
        <v>3227</v>
      </c>
      <c r="H72" s="7" t="s">
        <v>3228</v>
      </c>
      <c r="I72" s="7" t="s">
        <v>2796</v>
      </c>
      <c r="J72" s="7"/>
      <c r="K72" s="7"/>
      <c r="L72" s="7"/>
      <c r="M72" s="7"/>
      <c r="N72" s="7"/>
      <c r="O72" s="7"/>
      <c r="P72" s="7"/>
      <c r="Q72" s="8" t="s">
        <v>1963</v>
      </c>
      <c r="R72" s="7"/>
      <c r="S72" s="7"/>
      <c r="T72" s="7" t="s">
        <v>3229</v>
      </c>
    </row>
    <row r="73" customFormat="false" ht="35.05" hidden="false" customHeight="false" outlineLevel="0" collapsed="false">
      <c r="A73" s="7" t="s">
        <v>3230</v>
      </c>
      <c r="B73" s="7" t="s">
        <v>78</v>
      </c>
      <c r="C73" s="7" t="s">
        <v>3231</v>
      </c>
      <c r="D73" s="7" t="s">
        <v>101</v>
      </c>
      <c r="E73" s="7" t="s">
        <v>3232</v>
      </c>
      <c r="F73" s="7" t="s">
        <v>3233</v>
      </c>
      <c r="G73" s="7" t="s">
        <v>3234</v>
      </c>
      <c r="H73" s="7" t="s">
        <v>3235</v>
      </c>
      <c r="I73" s="7" t="s">
        <v>2796</v>
      </c>
      <c r="J73" s="7"/>
      <c r="K73" s="7"/>
      <c r="L73" s="7"/>
      <c r="M73" s="7"/>
      <c r="N73" s="7"/>
      <c r="O73" s="7"/>
      <c r="P73" s="7" t="s">
        <v>3236</v>
      </c>
      <c r="Q73" s="8" t="s">
        <v>3101</v>
      </c>
      <c r="R73" s="7"/>
      <c r="S73" s="7"/>
      <c r="T73" s="7"/>
    </row>
    <row r="74" customFormat="false" ht="23.85" hidden="false" customHeight="false" outlineLevel="0" collapsed="false">
      <c r="A74" s="7" t="s">
        <v>3237</v>
      </c>
      <c r="B74" s="7" t="s">
        <v>98</v>
      </c>
      <c r="C74" s="7" t="s">
        <v>3238</v>
      </c>
      <c r="D74" s="7" t="s">
        <v>472</v>
      </c>
      <c r="E74" s="7" t="s">
        <v>473</v>
      </c>
      <c r="F74" s="7" t="s">
        <v>474</v>
      </c>
      <c r="G74" s="7" t="s">
        <v>3239</v>
      </c>
      <c r="H74" s="7" t="s">
        <v>3240</v>
      </c>
      <c r="I74" s="7" t="s">
        <v>3094</v>
      </c>
      <c r="J74" s="7" t="s">
        <v>3241</v>
      </c>
      <c r="K74" s="8" t="s">
        <v>3242</v>
      </c>
      <c r="L74" s="7"/>
      <c r="M74" s="7"/>
      <c r="N74" s="7"/>
      <c r="O74" s="7"/>
      <c r="P74" s="7"/>
      <c r="Q74" s="8" t="s">
        <v>3242</v>
      </c>
      <c r="R74" s="7"/>
      <c r="S74" s="7"/>
      <c r="T74" s="7"/>
    </row>
    <row r="75" customFormat="false" ht="15" hidden="false" customHeight="false" outlineLevel="0" collapsed="false">
      <c r="A75" s="7" t="s">
        <v>3243</v>
      </c>
      <c r="B75" s="7" t="s">
        <v>98</v>
      </c>
      <c r="C75" s="7" t="s">
        <v>3244</v>
      </c>
      <c r="D75" s="7" t="s">
        <v>472</v>
      </c>
      <c r="E75" s="7" t="s">
        <v>473</v>
      </c>
      <c r="F75" s="7" t="s">
        <v>474</v>
      </c>
      <c r="G75" s="7" t="s">
        <v>2976</v>
      </c>
      <c r="H75" s="7" t="s">
        <v>3245</v>
      </c>
      <c r="I75" s="7" t="s">
        <v>2796</v>
      </c>
      <c r="J75" s="7" t="s">
        <v>3246</v>
      </c>
      <c r="K75" s="8" t="s">
        <v>3247</v>
      </c>
      <c r="L75" s="7"/>
      <c r="M75" s="7"/>
      <c r="N75" s="7"/>
      <c r="O75" s="7"/>
      <c r="P75" s="7"/>
      <c r="Q75" s="8" t="s">
        <v>3247</v>
      </c>
      <c r="R75" s="7"/>
      <c r="S75" s="7"/>
      <c r="T75" s="7"/>
    </row>
    <row r="76" customFormat="false" ht="15" hidden="false" customHeight="false" outlineLevel="0" collapsed="false">
      <c r="A76" s="7" t="s">
        <v>3248</v>
      </c>
      <c r="B76" s="7" t="s">
        <v>98</v>
      </c>
      <c r="C76" s="7" t="s">
        <v>3249</v>
      </c>
      <c r="D76" s="7" t="s">
        <v>472</v>
      </c>
      <c r="E76" s="7" t="s">
        <v>473</v>
      </c>
      <c r="F76" s="7" t="s">
        <v>474</v>
      </c>
      <c r="G76" s="7" t="s">
        <v>2786</v>
      </c>
      <c r="H76" s="7" t="s">
        <v>3250</v>
      </c>
      <c r="I76" s="7" t="s">
        <v>2796</v>
      </c>
      <c r="J76" s="7"/>
      <c r="K76" s="7"/>
      <c r="L76" s="7"/>
      <c r="M76" s="7"/>
      <c r="N76" s="7"/>
      <c r="O76" s="7"/>
      <c r="P76" s="7"/>
      <c r="Q76" s="8" t="s">
        <v>2815</v>
      </c>
      <c r="R76" s="7" t="s">
        <v>2912</v>
      </c>
      <c r="S76" s="7"/>
      <c r="T76" s="7" t="s">
        <v>3251</v>
      </c>
    </row>
    <row r="77" customFormat="false" ht="15" hidden="false" customHeight="false" outlineLevel="0" collapsed="false">
      <c r="A77" s="7" t="s">
        <v>3252</v>
      </c>
      <c r="B77" s="7" t="s">
        <v>78</v>
      </c>
      <c r="C77" s="7" t="s">
        <v>3253</v>
      </c>
      <c r="D77" s="7" t="s">
        <v>472</v>
      </c>
      <c r="E77" s="7" t="s">
        <v>473</v>
      </c>
      <c r="F77" s="7" t="s">
        <v>474</v>
      </c>
      <c r="G77" s="7" t="s">
        <v>2786</v>
      </c>
      <c r="H77" s="7" t="s">
        <v>3254</v>
      </c>
      <c r="I77" s="7" t="s">
        <v>2796</v>
      </c>
      <c r="J77" s="7" t="s">
        <v>3255</v>
      </c>
      <c r="K77" s="8" t="s">
        <v>3256</v>
      </c>
      <c r="L77" s="7"/>
      <c r="M77" s="7"/>
      <c r="N77" s="7"/>
      <c r="O77" s="7"/>
      <c r="P77" s="7"/>
      <c r="Q77" s="8" t="s">
        <v>3256</v>
      </c>
      <c r="R77" s="7"/>
      <c r="S77" s="7"/>
      <c r="T77" s="7"/>
    </row>
    <row r="78" customFormat="false" ht="15" hidden="false" customHeight="false" outlineLevel="0" collapsed="false">
      <c r="A78" s="7" t="s">
        <v>3257</v>
      </c>
      <c r="B78" s="7" t="s">
        <v>78</v>
      </c>
      <c r="C78" s="7" t="s">
        <v>3258</v>
      </c>
      <c r="D78" s="7" t="s">
        <v>472</v>
      </c>
      <c r="E78" s="7" t="s">
        <v>473</v>
      </c>
      <c r="F78" s="7" t="s">
        <v>474</v>
      </c>
      <c r="G78" s="7" t="s">
        <v>3259</v>
      </c>
      <c r="H78" s="7" t="s">
        <v>3260</v>
      </c>
      <c r="I78" s="7" t="s">
        <v>2796</v>
      </c>
      <c r="J78" s="7" t="s">
        <v>3261</v>
      </c>
      <c r="K78" s="8" t="s">
        <v>3262</v>
      </c>
      <c r="L78" s="7"/>
      <c r="M78" s="7"/>
      <c r="N78" s="7"/>
      <c r="O78" s="7"/>
      <c r="P78" s="7"/>
      <c r="Q78" s="8" t="s">
        <v>3262</v>
      </c>
      <c r="R78" s="7"/>
      <c r="S78" s="7"/>
      <c r="T78" s="7"/>
    </row>
    <row r="79" customFormat="false" ht="23.85" hidden="false" customHeight="false" outlineLevel="0" collapsed="false">
      <c r="A79" s="7" t="s">
        <v>3263</v>
      </c>
      <c r="B79" s="7" t="s">
        <v>78</v>
      </c>
      <c r="C79" s="7" t="s">
        <v>3264</v>
      </c>
      <c r="D79" s="7" t="s">
        <v>472</v>
      </c>
      <c r="E79" s="7" t="s">
        <v>473</v>
      </c>
      <c r="F79" s="7" t="s">
        <v>474</v>
      </c>
      <c r="G79" s="7" t="s">
        <v>3265</v>
      </c>
      <c r="H79" s="7" t="s">
        <v>3266</v>
      </c>
      <c r="I79" s="7" t="s">
        <v>3267</v>
      </c>
      <c r="J79" s="7" t="s">
        <v>3268</v>
      </c>
      <c r="K79" s="8" t="s">
        <v>3269</v>
      </c>
      <c r="L79" s="7"/>
      <c r="M79" s="7"/>
      <c r="N79" s="7"/>
      <c r="O79" s="7"/>
      <c r="P79" s="7"/>
      <c r="Q79" s="8" t="s">
        <v>3269</v>
      </c>
      <c r="R79" s="7"/>
      <c r="S79" s="7"/>
      <c r="T79" s="7"/>
    </row>
    <row r="80" customFormat="false" ht="15" hidden="false" customHeight="false" outlineLevel="0" collapsed="false">
      <c r="A80" s="7" t="s">
        <v>3270</v>
      </c>
      <c r="B80" s="7" t="s">
        <v>98</v>
      </c>
      <c r="C80" s="7" t="s">
        <v>3271</v>
      </c>
      <c r="D80" s="7" t="s">
        <v>472</v>
      </c>
      <c r="E80" s="7" t="s">
        <v>2562</v>
      </c>
      <c r="F80" s="7" t="s">
        <v>2563</v>
      </c>
      <c r="G80" s="7" t="s">
        <v>3272</v>
      </c>
      <c r="H80" s="7" t="s">
        <v>3273</v>
      </c>
      <c r="I80" s="7" t="s">
        <v>3274</v>
      </c>
      <c r="J80" s="7" t="s">
        <v>3275</v>
      </c>
      <c r="K80" s="8" t="s">
        <v>3276</v>
      </c>
      <c r="L80" s="7"/>
      <c r="M80" s="7"/>
      <c r="N80" s="7"/>
      <c r="O80" s="7"/>
      <c r="P80" s="7"/>
      <c r="Q80" s="8" t="s">
        <v>3276</v>
      </c>
      <c r="R80" s="7"/>
      <c r="S80" s="7"/>
      <c r="T80" s="7"/>
    </row>
    <row r="81" customFormat="false" ht="46.25" hidden="false" customHeight="false" outlineLevel="0" collapsed="false">
      <c r="A81" s="7" t="s">
        <v>3277</v>
      </c>
      <c r="B81" s="7" t="s">
        <v>78</v>
      </c>
      <c r="C81" s="7" t="s">
        <v>3278</v>
      </c>
      <c r="D81" s="7" t="s">
        <v>472</v>
      </c>
      <c r="E81" s="7" t="s">
        <v>2562</v>
      </c>
      <c r="F81" s="7" t="s">
        <v>2563</v>
      </c>
      <c r="G81" s="7" t="s">
        <v>3279</v>
      </c>
      <c r="H81" s="7" t="s">
        <v>3280</v>
      </c>
      <c r="I81" s="7" t="s">
        <v>3281</v>
      </c>
      <c r="J81" s="7"/>
      <c r="K81" s="7"/>
      <c r="L81" s="8" t="s">
        <v>3282</v>
      </c>
      <c r="M81" s="7"/>
      <c r="N81" s="7"/>
      <c r="O81" s="7"/>
      <c r="P81" s="7"/>
      <c r="Q81" s="8" t="s">
        <v>3282</v>
      </c>
      <c r="R81" s="7"/>
      <c r="S81" s="7"/>
      <c r="T81" s="7" t="s">
        <v>3283</v>
      </c>
    </row>
    <row r="82" customFormat="false" ht="23.85" hidden="false" customHeight="false" outlineLevel="0" collapsed="false">
      <c r="A82" s="7" t="s">
        <v>3284</v>
      </c>
      <c r="B82" s="7" t="s">
        <v>78</v>
      </c>
      <c r="C82" s="7" t="s">
        <v>3285</v>
      </c>
      <c r="D82" s="7" t="s">
        <v>472</v>
      </c>
      <c r="E82" s="7" t="s">
        <v>2562</v>
      </c>
      <c r="F82" s="7" t="s">
        <v>2563</v>
      </c>
      <c r="G82" s="7" t="s">
        <v>3286</v>
      </c>
      <c r="H82" s="7" t="s">
        <v>3287</v>
      </c>
      <c r="I82" s="7" t="s">
        <v>3288</v>
      </c>
      <c r="J82" s="7"/>
      <c r="K82" s="7"/>
      <c r="L82" s="7"/>
      <c r="M82" s="7"/>
      <c r="N82" s="7"/>
      <c r="O82" s="7"/>
      <c r="P82" s="7"/>
      <c r="Q82" s="8" t="s">
        <v>3289</v>
      </c>
      <c r="R82" s="7"/>
      <c r="S82" s="7"/>
      <c r="T82" s="7" t="s">
        <v>3290</v>
      </c>
    </row>
    <row r="83" customFormat="false" ht="15" hidden="false" customHeight="false" outlineLevel="0" collapsed="false">
      <c r="A83" s="7" t="s">
        <v>3291</v>
      </c>
      <c r="B83" s="7" t="s">
        <v>78</v>
      </c>
      <c r="C83" s="7" t="s">
        <v>3292</v>
      </c>
      <c r="D83" s="7" t="s">
        <v>946</v>
      </c>
      <c r="E83" s="7" t="s">
        <v>2626</v>
      </c>
      <c r="F83" s="7" t="s">
        <v>2626</v>
      </c>
      <c r="G83" s="7" t="s">
        <v>3293</v>
      </c>
      <c r="H83" s="7" t="s">
        <v>3294</v>
      </c>
      <c r="I83" s="7" t="s">
        <v>2796</v>
      </c>
      <c r="J83" s="7"/>
      <c r="K83" s="7"/>
      <c r="L83" s="7"/>
      <c r="M83" s="7"/>
      <c r="N83" s="7"/>
      <c r="O83" s="7"/>
      <c r="P83" s="7"/>
      <c r="Q83" s="8" t="s">
        <v>3295</v>
      </c>
      <c r="R83" s="7"/>
      <c r="S83" s="7"/>
      <c r="T83" s="7"/>
    </row>
    <row r="84" customFormat="false" ht="15" hidden="false" customHeight="false" outlineLevel="0" collapsed="false">
      <c r="A84" s="7" t="s">
        <v>3296</v>
      </c>
      <c r="B84" s="7" t="s">
        <v>98</v>
      </c>
      <c r="C84" s="7" t="s">
        <v>3297</v>
      </c>
      <c r="D84" s="7" t="s">
        <v>946</v>
      </c>
      <c r="E84" s="7" t="s">
        <v>2626</v>
      </c>
      <c r="F84" s="7" t="s">
        <v>2627</v>
      </c>
      <c r="G84" s="7" t="s">
        <v>3298</v>
      </c>
      <c r="H84" s="7" t="s">
        <v>3299</v>
      </c>
      <c r="I84" s="7" t="s">
        <v>2796</v>
      </c>
      <c r="J84" s="7"/>
      <c r="K84" s="7"/>
      <c r="L84" s="7"/>
      <c r="M84" s="7"/>
      <c r="N84" s="7"/>
      <c r="O84" s="7"/>
      <c r="P84" s="7"/>
      <c r="Q84" s="8" t="s">
        <v>2644</v>
      </c>
      <c r="R84" s="7"/>
      <c r="S84" s="7"/>
      <c r="T84" s="7"/>
    </row>
    <row r="85" customFormat="false" ht="68.65" hidden="false" customHeight="false" outlineLevel="0" collapsed="false">
      <c r="A85" s="7" t="s">
        <v>3300</v>
      </c>
      <c r="B85" s="7" t="s">
        <v>78</v>
      </c>
      <c r="C85" s="7" t="s">
        <v>3301</v>
      </c>
      <c r="D85" s="7" t="s">
        <v>946</v>
      </c>
      <c r="E85" s="7" t="s">
        <v>2626</v>
      </c>
      <c r="F85" s="7" t="s">
        <v>2627</v>
      </c>
      <c r="G85" s="7" t="s">
        <v>3302</v>
      </c>
      <c r="H85" s="7" t="s">
        <v>3303</v>
      </c>
      <c r="I85" s="7" t="s">
        <v>2796</v>
      </c>
      <c r="J85" s="7"/>
      <c r="K85" s="7"/>
      <c r="L85" s="8" t="s">
        <v>3304</v>
      </c>
      <c r="M85" s="7"/>
      <c r="N85" s="7"/>
      <c r="O85" s="7"/>
      <c r="P85" s="7"/>
      <c r="Q85" s="8" t="s">
        <v>3305</v>
      </c>
      <c r="R85" s="7"/>
      <c r="S85" s="7"/>
      <c r="T85" s="7" t="s">
        <v>3306</v>
      </c>
    </row>
    <row r="86" customFormat="false" ht="23.85" hidden="false" customHeight="false" outlineLevel="0" collapsed="false">
      <c r="A86" s="7" t="s">
        <v>3307</v>
      </c>
      <c r="B86" s="7" t="s">
        <v>78</v>
      </c>
      <c r="C86" s="7" t="s">
        <v>3308</v>
      </c>
      <c r="D86" s="7" t="s">
        <v>946</v>
      </c>
      <c r="E86" s="7" t="s">
        <v>2626</v>
      </c>
      <c r="F86" s="7" t="s">
        <v>2627</v>
      </c>
      <c r="G86" s="7" t="s">
        <v>3309</v>
      </c>
      <c r="H86" s="7" t="s">
        <v>3310</v>
      </c>
      <c r="I86" s="7" t="s">
        <v>3311</v>
      </c>
      <c r="J86" s="7"/>
      <c r="K86" s="7"/>
      <c r="L86" s="7"/>
      <c r="M86" s="7"/>
      <c r="N86" s="7"/>
      <c r="O86" s="7"/>
      <c r="P86" s="7"/>
      <c r="Q86" s="8" t="s">
        <v>3312</v>
      </c>
      <c r="R86" s="7"/>
      <c r="S86" s="7"/>
      <c r="T86" s="7" t="s">
        <v>3313</v>
      </c>
    </row>
    <row r="87" customFormat="false" ht="23.85" hidden="false" customHeight="false" outlineLevel="0" collapsed="false">
      <c r="A87" s="7" t="s">
        <v>3314</v>
      </c>
      <c r="B87" s="7" t="s">
        <v>78</v>
      </c>
      <c r="C87" s="7" t="s">
        <v>3315</v>
      </c>
      <c r="D87" s="7" t="s">
        <v>946</v>
      </c>
      <c r="E87" s="7" t="s">
        <v>2650</v>
      </c>
      <c r="F87" s="7" t="s">
        <v>2651</v>
      </c>
      <c r="G87" s="7" t="s">
        <v>3316</v>
      </c>
      <c r="H87" s="7" t="s">
        <v>3317</v>
      </c>
      <c r="I87" s="7" t="s">
        <v>3318</v>
      </c>
      <c r="J87" s="7"/>
      <c r="K87" s="7"/>
      <c r="L87" s="7"/>
      <c r="M87" s="7"/>
      <c r="N87" s="7"/>
      <c r="O87" s="7"/>
      <c r="P87" s="7"/>
      <c r="Q87" s="8" t="s">
        <v>3319</v>
      </c>
      <c r="R87" s="7" t="s">
        <v>3320</v>
      </c>
      <c r="S87" s="7"/>
      <c r="T87" s="7" t="s">
        <v>3321</v>
      </c>
    </row>
    <row r="88" customFormat="false" ht="35.05" hidden="false" customHeight="false" outlineLevel="0" collapsed="false">
      <c r="A88" s="7" t="s">
        <v>3322</v>
      </c>
      <c r="B88" s="7" t="s">
        <v>78</v>
      </c>
      <c r="C88" s="7" t="s">
        <v>3323</v>
      </c>
      <c r="D88" s="7" t="s">
        <v>946</v>
      </c>
      <c r="E88" s="7" t="s">
        <v>2675</v>
      </c>
      <c r="F88" s="7" t="s">
        <v>3324</v>
      </c>
      <c r="G88" s="7" t="s">
        <v>3325</v>
      </c>
      <c r="H88" s="7" t="s">
        <v>3326</v>
      </c>
      <c r="I88" s="7" t="s">
        <v>3327</v>
      </c>
      <c r="J88" s="7"/>
      <c r="K88" s="7"/>
      <c r="L88" s="7"/>
      <c r="M88" s="7"/>
      <c r="N88" s="7"/>
      <c r="O88" s="7"/>
      <c r="P88" s="7"/>
      <c r="Q88" s="8" t="s">
        <v>3328</v>
      </c>
      <c r="R88" s="7"/>
      <c r="S88" s="7"/>
      <c r="T88" s="7" t="s">
        <v>3329</v>
      </c>
    </row>
    <row r="89" customFormat="false" ht="23.85" hidden="false" customHeight="false" outlineLevel="0" collapsed="false">
      <c r="A89" s="7" t="s">
        <v>3330</v>
      </c>
      <c r="B89" s="7" t="s">
        <v>78</v>
      </c>
      <c r="C89" s="7" t="s">
        <v>3331</v>
      </c>
      <c r="D89" s="7" t="s">
        <v>946</v>
      </c>
      <c r="E89" s="7" t="s">
        <v>2675</v>
      </c>
      <c r="F89" s="7" t="s">
        <v>2676</v>
      </c>
      <c r="G89" s="7" t="s">
        <v>3332</v>
      </c>
      <c r="H89" s="7" t="s">
        <v>3333</v>
      </c>
      <c r="I89" s="7" t="s">
        <v>3334</v>
      </c>
      <c r="J89" s="7"/>
      <c r="K89" s="7"/>
      <c r="L89" s="7"/>
      <c r="M89" s="7"/>
      <c r="N89" s="7"/>
      <c r="O89" s="7"/>
      <c r="P89" s="7" t="s">
        <v>3335</v>
      </c>
      <c r="Q89" s="8" t="s">
        <v>3336</v>
      </c>
      <c r="R89" s="7"/>
      <c r="S89" s="7"/>
      <c r="T89" s="7" t="s">
        <v>3337</v>
      </c>
    </row>
    <row r="90" customFormat="false" ht="15" hidden="false" customHeight="false" outlineLevel="0" collapsed="false">
      <c r="A90" s="7" t="s">
        <v>3338</v>
      </c>
      <c r="B90" s="7" t="s">
        <v>78</v>
      </c>
      <c r="C90" s="7" t="s">
        <v>3339</v>
      </c>
      <c r="D90" s="7" t="s">
        <v>946</v>
      </c>
      <c r="E90" s="7" t="s">
        <v>2675</v>
      </c>
      <c r="F90" s="7" t="s">
        <v>2675</v>
      </c>
      <c r="G90" s="7" t="s">
        <v>3340</v>
      </c>
      <c r="H90" s="7" t="s">
        <v>3341</v>
      </c>
      <c r="I90" s="7" t="s">
        <v>3342</v>
      </c>
      <c r="J90" s="7" t="s">
        <v>3343</v>
      </c>
      <c r="K90" s="8" t="s">
        <v>3344</v>
      </c>
      <c r="L90" s="7"/>
      <c r="M90" s="7"/>
      <c r="N90" s="7"/>
      <c r="O90" s="7"/>
      <c r="P90" s="7"/>
      <c r="Q90" s="8" t="s">
        <v>3344</v>
      </c>
      <c r="R90" s="7"/>
      <c r="S90" s="7"/>
      <c r="T90" s="7"/>
    </row>
    <row r="91" customFormat="false" ht="15" hidden="false" customHeight="false" outlineLevel="0" collapsed="false">
      <c r="A91" s="7" t="s">
        <v>3345</v>
      </c>
      <c r="B91" s="7" t="s">
        <v>98</v>
      </c>
      <c r="C91" s="7" t="s">
        <v>3346</v>
      </c>
      <c r="D91" s="7" t="s">
        <v>946</v>
      </c>
      <c r="E91" s="7" t="s">
        <v>2685</v>
      </c>
      <c r="F91" s="7" t="s">
        <v>2686</v>
      </c>
      <c r="G91" s="7" t="s">
        <v>3347</v>
      </c>
      <c r="H91" s="7" t="s">
        <v>2900</v>
      </c>
      <c r="I91" s="7" t="s">
        <v>3348</v>
      </c>
      <c r="J91" s="7" t="s">
        <v>3349</v>
      </c>
      <c r="K91" s="8" t="s">
        <v>3350</v>
      </c>
      <c r="L91" s="7"/>
      <c r="M91" s="7"/>
      <c r="N91" s="7"/>
      <c r="O91" s="7"/>
      <c r="P91" s="7"/>
      <c r="Q91" s="8" t="s">
        <v>3350</v>
      </c>
      <c r="R91" s="7"/>
      <c r="S91" s="7"/>
      <c r="T91" s="7"/>
    </row>
    <row r="92" customFormat="false" ht="23.85" hidden="false" customHeight="false" outlineLevel="0" collapsed="false">
      <c r="A92" s="7" t="s">
        <v>3351</v>
      </c>
      <c r="B92" s="7" t="s">
        <v>78</v>
      </c>
      <c r="C92" s="7" t="s">
        <v>3352</v>
      </c>
      <c r="D92" s="7" t="s">
        <v>946</v>
      </c>
      <c r="E92" s="7" t="s">
        <v>3353</v>
      </c>
      <c r="F92" s="7" t="s">
        <v>3354</v>
      </c>
      <c r="G92" s="7" t="s">
        <v>2786</v>
      </c>
      <c r="H92" s="7" t="s">
        <v>3355</v>
      </c>
      <c r="I92" s="7" t="s">
        <v>2796</v>
      </c>
      <c r="J92" s="7"/>
      <c r="K92" s="7"/>
      <c r="L92" s="7"/>
      <c r="M92" s="7"/>
      <c r="N92" s="7"/>
      <c r="O92" s="7"/>
      <c r="P92" s="7"/>
      <c r="Q92" s="8" t="s">
        <v>3295</v>
      </c>
      <c r="R92" s="7"/>
      <c r="S92" s="7"/>
      <c r="T92" s="7" t="s">
        <v>3329</v>
      </c>
    </row>
    <row r="93" customFormat="false" ht="35.05" hidden="false" customHeight="false" outlineLevel="0" collapsed="false">
      <c r="A93" s="7" t="s">
        <v>3356</v>
      </c>
      <c r="B93" s="7" t="s">
        <v>78</v>
      </c>
      <c r="C93" s="7" t="s">
        <v>3357</v>
      </c>
      <c r="D93" s="7" t="s">
        <v>143</v>
      </c>
      <c r="E93" s="7" t="s">
        <v>143</v>
      </c>
      <c r="F93" s="7" t="s">
        <v>143</v>
      </c>
      <c r="G93" s="7" t="s">
        <v>3358</v>
      </c>
      <c r="H93" s="7" t="s">
        <v>3359</v>
      </c>
      <c r="I93" s="7" t="s">
        <v>3360</v>
      </c>
      <c r="J93" s="7" t="s">
        <v>3361</v>
      </c>
      <c r="K93" s="8" t="s">
        <v>3362</v>
      </c>
      <c r="L93" s="7"/>
      <c r="M93" s="7"/>
      <c r="N93" s="7"/>
      <c r="O93" s="7"/>
      <c r="P93" s="7"/>
      <c r="Q93" s="8" t="s">
        <v>3363</v>
      </c>
      <c r="R93" s="7"/>
      <c r="S93" s="7"/>
      <c r="T93" s="7" t="s">
        <v>3364</v>
      </c>
    </row>
    <row r="94" customFormat="false" ht="46.25" hidden="false" customHeight="false" outlineLevel="0" collapsed="false">
      <c r="A94" s="7" t="s">
        <v>3365</v>
      </c>
      <c r="B94" s="7" t="s">
        <v>78</v>
      </c>
      <c r="C94" s="7" t="s">
        <v>3366</v>
      </c>
      <c r="D94" s="7" t="s">
        <v>143</v>
      </c>
      <c r="E94" s="7" t="s">
        <v>143</v>
      </c>
      <c r="F94" s="7" t="s">
        <v>143</v>
      </c>
      <c r="G94" s="7" t="s">
        <v>3367</v>
      </c>
      <c r="H94" s="7" t="s">
        <v>2900</v>
      </c>
      <c r="I94" s="7" t="s">
        <v>3360</v>
      </c>
      <c r="J94" s="7" t="s">
        <v>3368</v>
      </c>
      <c r="K94" s="8" t="s">
        <v>3369</v>
      </c>
      <c r="L94" s="7"/>
      <c r="M94" s="7"/>
      <c r="N94" s="7"/>
      <c r="O94" s="7"/>
      <c r="P94" s="7"/>
      <c r="Q94" s="8" t="s">
        <v>3369</v>
      </c>
      <c r="R94" s="7" t="s">
        <v>3370</v>
      </c>
      <c r="S94" s="7"/>
      <c r="T94" s="7"/>
    </row>
    <row r="95" customFormat="false" ht="23.85" hidden="false" customHeight="false" outlineLevel="0" collapsed="false">
      <c r="A95" s="7" t="s">
        <v>3371</v>
      </c>
      <c r="B95" s="7" t="s">
        <v>78</v>
      </c>
      <c r="C95" s="7" t="s">
        <v>3372</v>
      </c>
      <c r="D95" s="7" t="s">
        <v>143</v>
      </c>
      <c r="E95" s="7" t="s">
        <v>143</v>
      </c>
      <c r="F95" s="7" t="s">
        <v>143</v>
      </c>
      <c r="G95" s="7" t="s">
        <v>3373</v>
      </c>
      <c r="H95" s="7" t="s">
        <v>2900</v>
      </c>
      <c r="I95" s="7" t="s">
        <v>2796</v>
      </c>
      <c r="J95" s="7" t="s">
        <v>3374</v>
      </c>
      <c r="K95" s="8" t="s">
        <v>3375</v>
      </c>
      <c r="L95" s="7"/>
      <c r="M95" s="7"/>
      <c r="N95" s="7"/>
      <c r="O95" s="7"/>
      <c r="P95" s="7"/>
      <c r="Q95" s="8" t="s">
        <v>3375</v>
      </c>
      <c r="R95" s="7" t="s">
        <v>3376</v>
      </c>
      <c r="S95" s="7"/>
      <c r="T95" s="7"/>
    </row>
  </sheetData>
  <autoFilter ref="A1:T95"/>
  <conditionalFormatting sqref="B2:B95">
    <cfRule type="expression" priority="2" aboveAverage="0" equalAverage="0" bottom="0" percent="0" rank="0" text="" dxfId="9">
      <formula>$B2="Premium"</formula>
    </cfRule>
  </conditionalFormatting>
  <hyperlinks>
    <hyperlink ref="Q2" r:id="rId1" display="https://www.thewaytocoffee.com/roasters/bombay-island-coffee-company"/>
    <hyperlink ref="Q3" r:id="rId2" display="https://sprudge.com/the-sprudge-coffee-guide-to-mumbai-150364.html"/>
    <hyperlink ref="Q4" r:id="rId3" display="https://www.timeout.com/mumbai/news/boojee-cafe-is-opening-a-new-outlet-at-one-bkc-in-mumbai-082026"/>
    <hyperlink ref="Q5" r:id="rId4" display="https://www.indiancoffeebeans.com/roasters"/>
    <hyperlink ref="Q6" r:id="rId5" display="https://www.localspecialtycoffee.com/cities/specialty-coffee-mumbai/in-house-roasting"/>
    <hyperlink ref="O7" r:id="rId6" display="https://in.linkedin.com/company/kc-roasters"/>
    <hyperlink ref="Q7" r:id="rId7" display="https://oteats.outlooktraveller.com/features/heres-where-to-find-the-best-artisanal-coffee-in-mumbai"/>
    <hyperlink ref="Q8" r:id="rId8" display="https://www.afaqs.com/news/brands/radhika-seth-and-meghna-kaur-launch-coffee-brand-naked-9480876"/>
    <hyperlink ref="Q9" r:id="rId9" display="https://www.worldcoffeeportal.com/news/nandan-coffee-steps-up-competition-in-indias-specialty-coffee-segment/"/>
    <hyperlink ref="Q10" r:id="rId10" display="https://www.restaurantindia.in/news/silk-road-coffee-company-opens-3500-sq-ft-roastery-and-bakehouse-in-versova.n17287"/>
    <hyperlink ref="K11" r:id="rId11" display="https://www.instagram.com/subkocoffee/"/>
    <hyperlink ref="L11" r:id="rId12" display="https://www.subko.coffee"/>
    <hyperlink ref="O11" r:id="rId13" display="https://in.linkedin.com/company/subkocoffee"/>
    <hyperlink ref="Q11" r:id="rId14" display="https://www.instagram.com/subkocoffee/"/>
    <hyperlink ref="O12" r:id="rId15" display="https://www.linkedin.com/company/toffeecoffeeroasters"/>
    <hyperlink ref="Q12" r:id="rId16" display="https://www.linkedin.com/company/toffeecoffeeroasters"/>
    <hyperlink ref="Q13" r:id="rId17" display="https://www.eazydiner.com/mumbai/toise-coffee-roastery-worli-south-mumbai-702423/reviews"/>
    <hyperlink ref="Q14" r:id="rId18" display="https://www.indiancoffeebeans.com/roasters"/>
    <hyperlink ref="Q15" r:id="rId19" display="https://www.freepressjournal.in/lifestyle/food-review-mazi-coffee-bar-and-kitchen-mumbai-offers-inventive-coffee-creations-and-delectable-dishes"/>
    <hyperlink ref="K16" r:id="rId20" display="https://www.instagram.com/coffeebrim/"/>
    <hyperlink ref="L16" r:id="rId21" display="https://corridorseven.coffee"/>
    <hyperlink ref="Q16" r:id="rId22" display="https://www.justdial.com/Nagpur/Coffee-Shops-in-Civil-Lines/nct-10104727"/>
    <hyperlink ref="K17" r:id="rId23" display="https://www.instagram.com/pareracoffee/"/>
    <hyperlink ref="Q17" r:id="rId24" display="https://www.instagram.com/pareracoffee/"/>
    <hyperlink ref="K18" r:id="rId25" display="https://www.instagram.com/antidotecoffeeroasters/"/>
    <hyperlink ref="Q18" r:id="rId26" display="https://www.instagram.com/antidotecoffeeroasters/"/>
    <hyperlink ref="Q19" r:id="rId27" display="https://www.indiancoffeebeans.com/roasters"/>
    <hyperlink ref="L20" r:id="rId28" display="https://729gramscoffee.com"/>
    <hyperlink ref="Q20" r:id="rId29" display="https://jobs.weekday.works/sr-barista-at-729-grams-coffee-roasters-wkdywty1k0"/>
    <hyperlink ref="L21" r:id="rId30" display="https://greysoul.coffee/"/>
    <hyperlink ref="Q21" r:id="rId31" display="https://greysoul.coffee/pages/our-cafe"/>
    <hyperlink ref="Q22" r:id="rId32" display="https://www.indianretailer.com/news/coffeeverse-launches-e-commerce-platform-bring-premium-specialty-coffee-across-india"/>
    <hyperlink ref="Q23" r:id="rId33" display="https://www.indiancoffeeguide.com/locations"/>
    <hyperlink ref="Q24" r:id="rId34" display="https://www.indianretailer.com/news/coffeeverse-launches-e-commerce-platform-bring-premium-specialty-coffee-across-india"/>
    <hyperlink ref="K25" r:id="rId35" display="https://www.instagram.com/roastery.cultur/"/>
    <hyperlink ref="Q25" r:id="rId36" display="https://theappbarista.com/blog/best-cafes-ahmedabad"/>
    <hyperlink ref="Q26" r:id="rId37" display="https://curlytales.com/india/food/cafe-hoppers-rejoice-gujarats-biggest-cafe-komo-by-kaffa-opens-in-ahmedabad/"/>
    <hyperlink ref="Q27" r:id="rId38" display="https://www.pulled.coffee/shop/bouee-coffee-roasters-surat"/>
    <hyperlink ref="L28" r:id="rId39" display="https://coffeeculture.co.in/"/>
    <hyperlink ref="Q28" r:id="rId40" display="https://coffeeculture.co.in/pages/location"/>
    <hyperlink ref="Q29" r:id="rId41" display="https://wanderlog.com/list/geoCategory/282401/best-coffee-shops-and-best-cafes-in-surat"/>
    <hyperlink ref="Q30" r:id="rId42" display="https://lbb.in/goa/java-junkies-youll-love-this-df7516/"/>
    <hyperlink ref="K31" r:id="rId43" display="https://www.instagram.com/rubyscoffee_goa/"/>
    <hyperlink ref="Q31" r:id="rId44" display="https://www.instagram.com/rubyscoffee_goa/"/>
    <hyperlink ref="Q32" r:id="rId45" display="https://www.district.in/blog/speciality-coffee-cafes-goa"/>
    <hyperlink ref="Q33" r:id="rId46" display="https://lbb.in/goa/babka-coffee-shop-desserts-anjuna"/>
    <hyperlink ref="Q34" r:id="rId47" display="https://www.district.in/blog/speciality-coffee-cafes-goa"/>
    <hyperlink ref="Q35" r:id="rId48" display="https://www.tripadvisor.com/Restaurant_Review-g319726-d19418225-Reviews-Handcrafted_Cafe_and_Roastery-Bhopal_Bhopal_District_Madhya_Pradesh.html"/>
    <hyperlink ref="K36" r:id="rId49" display="https://www.instagram.com/siolim.coffee/"/>
    <hyperlink ref="L36" r:id="rId50" display="https://www.siolim.coffee/"/>
    <hyperlink ref="Q36" r:id="rId51" display="https://homegrown.co.in/homegrown-supply/siolims-artisanal-roasts-are-bringing-a-community-driven-approach-to-central-indian-coffee"/>
    <hyperlink ref="Q37" r:id="rId52" display="https://in.linkedin.com/company/worldofkacoba"/>
    <hyperlink ref="Q38" r:id="rId53" display="https://www.indiancoffeeguide.com/locations"/>
    <hyperlink ref="K39" r:id="rId54" display="https://www.instagram.com/brewtowncoffeeroasters/"/>
    <hyperlink ref="Q39" r:id="rId55" display="https://www.instagram.com/brewtowncoffeeroasters/"/>
    <hyperlink ref="K40" r:id="rId56" display="https://www.instagram.com/capulusbeansroasters/"/>
    <hyperlink ref="Q40" r:id="rId57" display="https://www.instagram.com/capulusbeansroasters/"/>
    <hyperlink ref="K41" r:id="rId58" display="https://www.instagram.com/sutracoffee/"/>
    <hyperlink ref="Q41" r:id="rId59" display="https://www.restaurantindia.in/news/coffee-sutra-opens-third-cafe-in-jaipur-with-advanced-global-brewing-systems.n12995"/>
    <hyperlink ref="O42" r:id="rId60" display="https://in.linkedin.com/company/half-light-coffee-roasters"/>
    <hyperlink ref="Q42" r:id="rId61" display="https://www.district.in/blog/specialty-coffee-jaipur"/>
    <hyperlink ref="K43" r:id="rId62" display="https://www.instagram.com/cafenoirjaipur/"/>
    <hyperlink ref="Q43" r:id="rId63" display="https://www.instagram.com/cafenoirjaipur/"/>
    <hyperlink ref="K44" r:id="rId64" display="https://www.instagram.com/taffetacoffeeindia/"/>
    <hyperlink ref="Q44" r:id="rId65" display="https://www.instagram.com/taffetacoffeeindia/"/>
    <hyperlink ref="Q45" r:id="rId66" display="https://www.district.in/blog/specialty-coffee-jaipur"/>
    <hyperlink ref="Q46" r:id="rId67" display="https://explorejodhpur.com/best-coffee-spots-in-jodhpur/"/>
    <hyperlink ref="Q47" r:id="rId68" display="https://www.shoppingbazar.in/specialty-coffee-udaipur-third-wave-cafes/"/>
    <hyperlink ref="L48" r:id="rId69" display="https://brootcoffee.com/"/>
    <hyperlink ref="Q48" r:id="rId70" display="https://brootcoffee.com/pages/wholesale-coffee-supplier"/>
    <hyperlink ref="Q49" r:id="rId71" display="https://wanderlog.com/list/geoCategory/1861413/coffee-roasters"/>
    <hyperlink ref="Q50" r:id="rId72" display="https://wanderlog.com/place/details/1079730/kaffa-cerrado-the-roastery"/>
    <hyperlink ref="Q51" r:id="rId73" display="https://www.outlooktraveller.com/ot-pours/7-unique-coffee-experiences-in-delhi-you-need-to-try"/>
    <hyperlink ref="Q52" r:id="rId74" display="https://brewatlas.co/delhi/cafes"/>
    <hyperlink ref="Q53" r:id="rId75" display="https://brewatlas.co/delhi/cafes"/>
    <hyperlink ref="K54" r:id="rId76" display="https://www.instagram.com/pourover.in/"/>
    <hyperlink ref="Q54" r:id="rId77" display="https://www.franchiseindia.com/insights/en/news/pour-over-coffee-roasters-targets-100-outlets-by-2030.59848"/>
    <hyperlink ref="K55" r:id="rId78" display="https://www.instagram.com/qbfcoffee/"/>
    <hyperlink ref="Q55" r:id="rId79" display="https://sites.google.com/view/best-coffee-shop-in-delhi/"/>
    <hyperlink ref="K56" r:id="rId80" display="https://www.instagram.com/rossettecoffee/"/>
    <hyperlink ref="L56" r:id="rId81" display="https://rossettecoffee.com/"/>
    <hyperlink ref="Q56" r:id="rId82" display="https://rossettecoffee.com/pages/wholesale"/>
    <hyperlink ref="L57" r:id="rId83" display="https://brewclancoffee.com/"/>
    <hyperlink ref="Q57" r:id="rId84" display="https://brewclancoffee.com/"/>
    <hyperlink ref="Q58" r:id="rId85" display="https://brewatlas.co/delhi/cafes"/>
    <hyperlink ref="L59" r:id="rId86" display="https://wholesale.bluetokaicoffee.com"/>
    <hyperlink ref="O59" r:id="rId87" display="https://in.linkedin.com/company/bluetokaicoffeeroasters"/>
    <hyperlink ref="Q59" r:id="rId88" display="https://ionanalytics.com/insights/mergermarket/blue-tokai-opportunity-underscores-growing-investor-appetite-for-indias-specialty-coffee-sector-dealspeak-apac/"/>
    <hyperlink ref="O60" r:id="rId89" display="https://in.linkedin.com/company/93-degrees-coffee-roasters"/>
    <hyperlink ref="Q60" r:id="rId90" display="https://in.linkedin.com/company/93-degrees-coffee-roasters"/>
    <hyperlink ref="K61" r:id="rId91" display="https://www.instagram.com/yourfirstcoffee/"/>
    <hyperlink ref="Q61" r:id="rId92" display="https://www.indianretailer.com/news/funding-alert-specialty-coffee-brand-first-coffee-secures-13-mn-fresh-funding"/>
    <hyperlink ref="Q62" r:id="rId93" display="https://www.restaurantindia.in/news/restaurant-india-news-gram-street-opens-in-gurugram-with-compact-specialty-caf-format.n16107"/>
    <hyperlink ref="Q63" r:id="rId94" display="https://www.district.in/blog/specialty-coffee-cafes-chandigarh"/>
    <hyperlink ref="Q64" r:id="rId95" display="https://www.pinaak.co/discover/varanasi-cafes-restaurants"/>
    <hyperlink ref="K65" r:id="rId96" display="https://www.instagram.com/doubleshotroasters/"/>
    <hyperlink ref="L65" r:id="rId97" display="https://doubleshotcoffee.in/"/>
    <hyperlink ref="Q65" r:id="rId98" display="https://doubleshotcoffee.in/"/>
    <hyperlink ref="Q66" r:id="rId99" display="https://rokazu.com/coffee-shops-in-punjab-india/"/>
    <hyperlink ref="L67" r:id="rId100" display="https://ikkis.coffee/"/>
    <hyperlink ref="Q67" r:id="rId101" display="https://ikkis.coffee/"/>
    <hyperlink ref="L68" r:id="rId102" display="https://kaapilaroasters.com/"/>
    <hyperlink ref="Q68" r:id="rId103" display="https://kaapilaroasters.com/discover-kaapi-la-chandigarhs-pioneering-specialty-coffee-roaster/"/>
    <hyperlink ref="Q69" r:id="rId104" display="https://dharamshalaguide.com/cafes-in-mcleodganj/"/>
    <hyperlink ref="Q70" r:id="rId105" display="https://thirdeyetraveller.com/dylans-toasted-and-roasted-coffee-house/"/>
    <hyperlink ref="Q71" r:id="rId106" display="https://www.tripadvisor.in/Restaurants-g297625-c8-Leh_Leh_District_Ladakh.html"/>
    <hyperlink ref="Q72" r:id="rId107" display="https://www.district.in/blog/specialty-coffee-jaipur"/>
    <hyperlink ref="Q73" r:id="rId108" display="https://www.outlooktraveller.com/ot-pours/7-unique-coffee-experiences-in-delhi-you-need-to-try"/>
    <hyperlink ref="K74" r:id="rId109" display="https://www.instagram.com/craftcoffeeindia/"/>
    <hyperlink ref="Q74" r:id="rId110" display="https://www.instagram.com/craftcoffeeindia/"/>
    <hyperlink ref="K75" r:id="rId111" display="https://www.instagram.com/potboilercoffee/"/>
    <hyperlink ref="Q75" r:id="rId112" display="https://www.instagram.com/potboilercoffee/"/>
    <hyperlink ref="Q76" r:id="rId113" display="https://www.indiancoffeebeans.com/roasters"/>
    <hyperlink ref="K77" r:id="rId114" display="https://www.instagram.com/30dayscoffeeroasters/"/>
    <hyperlink ref="Q77" r:id="rId115" display="https://www.instagram.com/30dayscoffeeroasters/"/>
    <hyperlink ref="K78" r:id="rId116" display="https://www.instagram.com/kollaborativecoffeeroasters/"/>
    <hyperlink ref="Q78" r:id="rId117" display="https://www.instagram.com/kollaborativecoffeeroasters/"/>
    <hyperlink ref="K79" r:id="rId118" display="https://www.instagram.com/yourstruly_coffee/"/>
    <hyperlink ref="Q79" r:id="rId119" display="https://www.instagram.com/yourstruly_coffee/"/>
    <hyperlink ref="K80" r:id="rId120" display="https://www.instagram.com/koraput_coffee/"/>
    <hyperlink ref="Q80" r:id="rId121" display="https://www.instagram.com/koraput_coffee/"/>
    <hyperlink ref="L81" r:id="rId122" display="https://deomalicoffee.in/"/>
    <hyperlink ref="Q81" r:id="rId123" display="https://deomalicoffee.in/"/>
    <hyperlink ref="Q82" r:id="rId124" display="https://www.localsamosa.com/business/odyssa-coffee-10652672"/>
    <hyperlink ref="Q83" r:id="rId125" display="https://www.slurrp.com/article/after-tea-can-north-east-ace-coffee-cultivation-1663241066010"/>
    <hyperlink ref="Q84" r:id="rId126" display="https://xtsy.one/cafes-in-shillong"/>
    <hyperlink ref="L85" r:id="rId127" display="https://www.7000steps.com/"/>
    <hyperlink ref="Q85" r:id="rId128" display="https://www.7000steps.com/blogs/7000-steps-coffee/why-single-origin-coffee-from-indias-northeast-is-your-cafes-secret-weapon-2025"/>
    <hyperlink ref="Q86" r:id="rId129" display="https://mbda.gov.in/smoky-falls-tribe-coffee-taking-meghalaya%E2%80%99s-high-quality-indigenous-coffee-world"/>
    <hyperlink ref="Q87" r:id="rId130" display="https://eastmojo.com/sikkim/2021/04/20/gangtoks-best-coffee-spots-where-to-get-your-caffeine-hit/"/>
    <hyperlink ref="Q88" r:id="rId131" display="https://mokokchungtimes.com/juro-coffee-house-announces-the-opening-of-a-new-live-roaster-roastery-unit/?amp=1"/>
    <hyperlink ref="Q89" r:id="rId132" display="https://theprint.in/feature/dimapur-to-kohima-nagaland-cafe-boom-signals-there-is-peace/1101341"/>
    <hyperlink ref="K90" r:id="rId133" display="https://www.instagram.com/ete_coffee/"/>
    <hyperlink ref="Q90" r:id="rId134" display="https://www.instagram.com/ete_coffee/"/>
    <hyperlink ref="K91" r:id="rId135" display="https://www.instagram.com/countrybean_aizawl_official/"/>
    <hyperlink ref="Q91" r:id="rId136" display="https://www.instagram.com/countrybean_aizawl_official/"/>
    <hyperlink ref="Q92" r:id="rId137" display="https://www.slurrp.com/article/after-tea-can-north-east-ace-coffee-cultivation-1663241066010"/>
    <hyperlink ref="K93" r:id="rId138" display="https://www.instagram.com/bloomcoffeeroastersindia/"/>
    <hyperlink ref="Q93" r:id="rId139" display="https://www.thewaytocoffee.com/roasters/bloom-coffee-roasters"/>
    <hyperlink ref="K94" r:id="rId140" display="https://www.instagram.com/kasa_coffee_/"/>
    <hyperlink ref="Q94" r:id="rId141" display="https://www.instagram.com/kasa_coffee_/"/>
    <hyperlink ref="K95" r:id="rId142" display="https://www.instagram.com/nscoffeeroaster/"/>
    <hyperlink ref="Q95" r:id="rId143" display="https://www.instagram.com/nscoffeeroast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24"/>
    <col collapsed="false" customWidth="true" hidden="false" outlineLevel="0" max="5" min="4" style="0" width="50"/>
    <col collapsed="false" customWidth="true" hidden="false" outlineLevel="0" max="6" min="6" style="0" width="26"/>
    <col collapsed="false" customWidth="true" hidden="false" outlineLevel="0" max="7" min="7" style="0" width="40"/>
    <col collapsed="false" customWidth="true" hidden="false" outlineLevel="0" max="8" min="8" style="0" width="24"/>
    <col collapsed="false" customWidth="true" hidden="false" outlineLevel="0" max="9" min="9" style="0" width="16"/>
    <col collapsed="false" customWidth="true" hidden="false" outlineLevel="0" max="10" min="10" style="0" width="30"/>
    <col collapsed="false" customWidth="true" hidden="false" outlineLevel="0" max="11" min="11" style="0" width="50"/>
  </cols>
  <sheetData>
    <row r="1" customFormat="false" ht="30" hidden="false" customHeight="true" outlineLevel="0" collapsed="false">
      <c r="A1" s="6" t="s">
        <v>3377</v>
      </c>
      <c r="B1" s="6" t="s">
        <v>46</v>
      </c>
      <c r="C1" s="6" t="s">
        <v>50</v>
      </c>
      <c r="D1" s="6" t="s">
        <v>3378</v>
      </c>
      <c r="E1" s="6" t="s">
        <v>3379</v>
      </c>
      <c r="F1" s="6" t="s">
        <v>62</v>
      </c>
      <c r="G1" s="6" t="s">
        <v>64</v>
      </c>
      <c r="H1" s="6" t="s">
        <v>65</v>
      </c>
      <c r="I1" s="6" t="s">
        <v>66</v>
      </c>
      <c r="J1" s="6" t="s">
        <v>67</v>
      </c>
      <c r="K1" s="6" t="s">
        <v>70</v>
      </c>
    </row>
    <row r="2" customFormat="false" ht="23.85" hidden="false" customHeight="false" outlineLevel="0" collapsed="false">
      <c r="A2" s="7" t="s">
        <v>3380</v>
      </c>
      <c r="B2" s="7" t="s">
        <v>3381</v>
      </c>
      <c r="C2" s="7" t="s">
        <v>119</v>
      </c>
      <c r="D2" s="7" t="s">
        <v>3382</v>
      </c>
      <c r="E2" s="7" t="s">
        <v>3383</v>
      </c>
      <c r="F2" s="7"/>
      <c r="G2" s="7"/>
      <c r="H2" s="7"/>
      <c r="I2" s="7"/>
      <c r="J2" s="7"/>
      <c r="K2" s="8" t="s">
        <v>3384</v>
      </c>
    </row>
    <row r="3" customFormat="false" ht="23.85" hidden="false" customHeight="false" outlineLevel="0" collapsed="false">
      <c r="A3" s="7" t="s">
        <v>3380</v>
      </c>
      <c r="B3" s="7" t="s">
        <v>3385</v>
      </c>
      <c r="C3" s="7" t="s">
        <v>3386</v>
      </c>
      <c r="D3" s="7" t="s">
        <v>3387</v>
      </c>
      <c r="E3" s="7" t="s">
        <v>3388</v>
      </c>
      <c r="F3" s="7"/>
      <c r="G3" s="8" t="s">
        <v>3389</v>
      </c>
      <c r="H3" s="7"/>
      <c r="I3" s="7"/>
      <c r="J3" s="7"/>
      <c r="K3" s="8" t="s">
        <v>3390</v>
      </c>
    </row>
    <row r="4" customFormat="false" ht="23.85" hidden="false" customHeight="false" outlineLevel="0" collapsed="false">
      <c r="A4" s="7" t="s">
        <v>3380</v>
      </c>
      <c r="B4" s="7" t="s">
        <v>3391</v>
      </c>
      <c r="C4" s="7" t="s">
        <v>102</v>
      </c>
      <c r="D4" s="7" t="s">
        <v>3392</v>
      </c>
      <c r="E4" s="7" t="s">
        <v>3393</v>
      </c>
      <c r="F4" s="7"/>
      <c r="G4" s="8" t="s">
        <v>3394</v>
      </c>
      <c r="H4" s="7"/>
      <c r="I4" s="7"/>
      <c r="J4" s="7"/>
      <c r="K4" s="8" t="s">
        <v>3394</v>
      </c>
    </row>
    <row r="5" customFormat="false" ht="15" hidden="false" customHeight="false" outlineLevel="0" collapsed="false">
      <c r="A5" s="7" t="s">
        <v>3380</v>
      </c>
      <c r="B5" s="7" t="s">
        <v>3395</v>
      </c>
      <c r="C5" s="7" t="s">
        <v>3396</v>
      </c>
      <c r="D5" s="7" t="s">
        <v>3397</v>
      </c>
      <c r="E5" s="7" t="s">
        <v>3398</v>
      </c>
      <c r="F5" s="7"/>
      <c r="G5" s="8" t="s">
        <v>3399</v>
      </c>
      <c r="H5" s="7"/>
      <c r="I5" s="7"/>
      <c r="J5" s="7"/>
      <c r="K5" s="8" t="s">
        <v>3399</v>
      </c>
    </row>
    <row r="6" customFormat="false" ht="15" hidden="false" customHeight="false" outlineLevel="0" collapsed="false">
      <c r="A6" s="7" t="s">
        <v>3380</v>
      </c>
      <c r="B6" s="7" t="s">
        <v>3400</v>
      </c>
      <c r="C6" s="7" t="s">
        <v>3396</v>
      </c>
      <c r="D6" s="7" t="s">
        <v>3401</v>
      </c>
      <c r="E6" s="7" t="s">
        <v>3402</v>
      </c>
      <c r="F6" s="7"/>
      <c r="G6" s="8" t="s">
        <v>3403</v>
      </c>
      <c r="H6" s="7"/>
      <c r="I6" s="7"/>
      <c r="J6" s="7"/>
      <c r="K6" s="8" t="s">
        <v>3404</v>
      </c>
    </row>
    <row r="7" customFormat="false" ht="15" hidden="false" customHeight="false" outlineLevel="0" collapsed="false">
      <c r="A7" s="7" t="s">
        <v>3405</v>
      </c>
      <c r="B7" s="7" t="s">
        <v>3406</v>
      </c>
      <c r="C7" s="7" t="s">
        <v>3407</v>
      </c>
      <c r="D7" s="7" t="s">
        <v>3408</v>
      </c>
      <c r="E7" s="7" t="s">
        <v>3409</v>
      </c>
      <c r="F7" s="7" t="s">
        <v>3410</v>
      </c>
      <c r="G7" s="7"/>
      <c r="H7" s="7"/>
      <c r="I7" s="7"/>
      <c r="J7" s="7"/>
      <c r="K7" s="8" t="s">
        <v>3411</v>
      </c>
    </row>
    <row r="8" customFormat="false" ht="15" hidden="false" customHeight="false" outlineLevel="0" collapsed="false">
      <c r="A8" s="7" t="s">
        <v>3405</v>
      </c>
      <c r="B8" s="7" t="s">
        <v>3412</v>
      </c>
      <c r="C8" s="7" t="s">
        <v>143</v>
      </c>
      <c r="D8" s="7" t="s">
        <v>3413</v>
      </c>
      <c r="E8" s="7" t="s">
        <v>3398</v>
      </c>
      <c r="F8" s="7" t="s">
        <v>3414</v>
      </c>
      <c r="G8" s="7"/>
      <c r="H8" s="7"/>
      <c r="I8" s="7"/>
      <c r="J8" s="7"/>
      <c r="K8" s="8" t="s">
        <v>3415</v>
      </c>
    </row>
    <row r="9" customFormat="false" ht="15" hidden="false" customHeight="false" outlineLevel="0" collapsed="false">
      <c r="A9" s="7" t="s">
        <v>3405</v>
      </c>
      <c r="B9" s="7" t="s">
        <v>3416</v>
      </c>
      <c r="C9" s="7" t="s">
        <v>143</v>
      </c>
      <c r="D9" s="7" t="s">
        <v>3417</v>
      </c>
      <c r="E9" s="7" t="s">
        <v>3418</v>
      </c>
      <c r="F9" s="7" t="s">
        <v>3419</v>
      </c>
      <c r="G9" s="7"/>
      <c r="H9" s="7"/>
      <c r="I9" s="7"/>
      <c r="J9" s="7"/>
      <c r="K9" s="8" t="s">
        <v>3420</v>
      </c>
    </row>
    <row r="10" customFormat="false" ht="15" hidden="false" customHeight="false" outlineLevel="0" collapsed="false">
      <c r="A10" s="7" t="s">
        <v>3405</v>
      </c>
      <c r="B10" s="7" t="s">
        <v>3421</v>
      </c>
      <c r="C10" s="7" t="s">
        <v>1829</v>
      </c>
      <c r="D10" s="7" t="s">
        <v>3422</v>
      </c>
      <c r="E10" s="7" t="s">
        <v>3423</v>
      </c>
      <c r="F10" s="7" t="s">
        <v>3424</v>
      </c>
      <c r="G10" s="7"/>
      <c r="H10" s="7"/>
      <c r="I10" s="7"/>
      <c r="J10" s="7"/>
      <c r="K10" s="8" t="s">
        <v>3425</v>
      </c>
    </row>
    <row r="11" customFormat="false" ht="15" hidden="false" customHeight="false" outlineLevel="0" collapsed="false">
      <c r="A11" s="7" t="s">
        <v>3426</v>
      </c>
      <c r="B11" s="7" t="s">
        <v>3427</v>
      </c>
      <c r="C11" s="7" t="s">
        <v>119</v>
      </c>
      <c r="D11" s="7" t="s">
        <v>3428</v>
      </c>
      <c r="E11" s="7" t="s">
        <v>3429</v>
      </c>
      <c r="F11" s="7"/>
      <c r="G11" s="8" t="s">
        <v>3430</v>
      </c>
      <c r="H11" s="7"/>
      <c r="I11" s="7"/>
      <c r="J11" s="7"/>
      <c r="K11" s="8" t="s">
        <v>1096</v>
      </c>
    </row>
    <row r="12" customFormat="false" ht="15" hidden="false" customHeight="false" outlineLevel="0" collapsed="false">
      <c r="A12" s="7" t="s">
        <v>3426</v>
      </c>
      <c r="B12" s="7" t="s">
        <v>3431</v>
      </c>
      <c r="C12" s="7" t="s">
        <v>319</v>
      </c>
      <c r="D12" s="7" t="s">
        <v>3432</v>
      </c>
      <c r="E12" s="7" t="s">
        <v>3433</v>
      </c>
      <c r="F12" s="7" t="s">
        <v>3434</v>
      </c>
      <c r="G12" s="7"/>
      <c r="H12" s="7"/>
      <c r="I12" s="7"/>
      <c r="J12" s="7"/>
      <c r="K12" s="8" t="s">
        <v>3435</v>
      </c>
    </row>
    <row r="13" customFormat="false" ht="15" hidden="false" customHeight="false" outlineLevel="0" collapsed="false">
      <c r="A13" s="7" t="s">
        <v>3426</v>
      </c>
      <c r="B13" s="7" t="s">
        <v>3436</v>
      </c>
      <c r="C13" s="7" t="s">
        <v>83</v>
      </c>
      <c r="D13" s="7" t="s">
        <v>3437</v>
      </c>
      <c r="E13" s="7" t="s">
        <v>3438</v>
      </c>
      <c r="F13" s="7"/>
      <c r="G13" s="8" t="s">
        <v>3439</v>
      </c>
      <c r="H13" s="7"/>
      <c r="I13" s="7"/>
      <c r="J13" s="7"/>
      <c r="K13" s="8" t="s">
        <v>3440</v>
      </c>
    </row>
    <row r="14" customFormat="false" ht="15" hidden="false" customHeight="false" outlineLevel="0" collapsed="false">
      <c r="A14" s="7" t="s">
        <v>3441</v>
      </c>
      <c r="B14" s="7" t="s">
        <v>3442</v>
      </c>
      <c r="C14" s="7" t="s">
        <v>3443</v>
      </c>
      <c r="D14" s="7" t="s">
        <v>3444</v>
      </c>
      <c r="E14" s="7" t="s">
        <v>3445</v>
      </c>
      <c r="F14" s="7"/>
      <c r="G14" s="8" t="s">
        <v>3446</v>
      </c>
      <c r="H14" s="7"/>
      <c r="I14" s="7"/>
      <c r="J14" s="7"/>
      <c r="K14" s="8" t="s">
        <v>3446</v>
      </c>
    </row>
    <row r="15" customFormat="false" ht="15" hidden="false" customHeight="false" outlineLevel="0" collapsed="false">
      <c r="A15" s="7" t="s">
        <v>3447</v>
      </c>
      <c r="B15" s="7" t="s">
        <v>3448</v>
      </c>
      <c r="C15" s="7" t="s">
        <v>3443</v>
      </c>
      <c r="D15" s="7" t="s">
        <v>3449</v>
      </c>
      <c r="E15" s="7" t="s">
        <v>3450</v>
      </c>
      <c r="F15" s="7"/>
      <c r="G15" s="8" t="s">
        <v>2815</v>
      </c>
      <c r="H15" s="7"/>
      <c r="I15" s="7"/>
      <c r="J15" s="7"/>
      <c r="K15" s="8" t="s">
        <v>2815</v>
      </c>
    </row>
    <row r="16" customFormat="false" ht="15" hidden="false" customHeight="false" outlineLevel="0" collapsed="false">
      <c r="A16" s="7" t="s">
        <v>3447</v>
      </c>
      <c r="B16" s="7" t="s">
        <v>3451</v>
      </c>
      <c r="C16" s="7" t="s">
        <v>83</v>
      </c>
      <c r="D16" s="7" t="s">
        <v>3452</v>
      </c>
      <c r="E16" s="7" t="s">
        <v>3453</v>
      </c>
      <c r="F16" s="7"/>
      <c r="G16" s="8" t="s">
        <v>3454</v>
      </c>
      <c r="H16" s="7"/>
      <c r="I16" s="7"/>
      <c r="J16" s="7"/>
      <c r="K16" s="8" t="s">
        <v>3454</v>
      </c>
    </row>
    <row r="17" customFormat="false" ht="15" hidden="false" customHeight="false" outlineLevel="0" collapsed="false">
      <c r="A17" s="7" t="s">
        <v>3455</v>
      </c>
      <c r="B17" s="7" t="s">
        <v>3456</v>
      </c>
      <c r="C17" s="7" t="s">
        <v>3457</v>
      </c>
      <c r="D17" s="7" t="s">
        <v>3458</v>
      </c>
      <c r="E17" s="7" t="s">
        <v>3459</v>
      </c>
      <c r="F17" s="7"/>
      <c r="G17" s="7"/>
      <c r="H17" s="7"/>
      <c r="I17" s="7"/>
      <c r="J17" s="7"/>
      <c r="K17" s="8" t="s">
        <v>3460</v>
      </c>
    </row>
    <row r="18" customFormat="false" ht="23.85" hidden="false" customHeight="false" outlineLevel="0" collapsed="false">
      <c r="A18" s="7" t="s">
        <v>3455</v>
      </c>
      <c r="B18" s="7" t="s">
        <v>3461</v>
      </c>
      <c r="C18" s="7" t="s">
        <v>3462</v>
      </c>
      <c r="D18" s="7" t="s">
        <v>3463</v>
      </c>
      <c r="E18" s="7" t="s">
        <v>3464</v>
      </c>
      <c r="F18" s="7"/>
      <c r="G18" s="7"/>
      <c r="H18" s="7"/>
      <c r="I18" s="7"/>
      <c r="J18" s="7"/>
      <c r="K18" s="8" t="s">
        <v>3465</v>
      </c>
    </row>
    <row r="19" customFormat="false" ht="15" hidden="false" customHeight="false" outlineLevel="0" collapsed="false">
      <c r="A19" s="7" t="s">
        <v>3405</v>
      </c>
      <c r="B19" s="7" t="s">
        <v>3466</v>
      </c>
      <c r="C19" s="7" t="s">
        <v>1763</v>
      </c>
      <c r="D19" s="7" t="s">
        <v>3467</v>
      </c>
      <c r="E19" s="7" t="s">
        <v>3468</v>
      </c>
      <c r="F19" s="7" t="s">
        <v>3469</v>
      </c>
      <c r="G19" s="7"/>
      <c r="H19" s="7"/>
      <c r="I19" s="7"/>
      <c r="J19" s="7"/>
      <c r="K19" s="8" t="s">
        <v>1790</v>
      </c>
    </row>
    <row r="20" customFormat="false" ht="15" hidden="false" customHeight="false" outlineLevel="0" collapsed="false">
      <c r="A20" s="7" t="s">
        <v>3426</v>
      </c>
      <c r="B20" s="7" t="s">
        <v>3470</v>
      </c>
      <c r="C20" s="7" t="s">
        <v>289</v>
      </c>
      <c r="D20" s="7" t="s">
        <v>3471</v>
      </c>
      <c r="E20" s="7" t="s">
        <v>3472</v>
      </c>
      <c r="F20" s="7" t="s">
        <v>3473</v>
      </c>
      <c r="G20" s="7"/>
      <c r="H20" s="7"/>
      <c r="I20" s="7"/>
      <c r="J20" s="7"/>
      <c r="K20" s="8" t="s">
        <v>3474</v>
      </c>
    </row>
    <row r="21" customFormat="false" ht="23.85" hidden="false" customHeight="false" outlineLevel="0" collapsed="false">
      <c r="A21" s="7" t="s">
        <v>3426</v>
      </c>
      <c r="B21" s="7" t="s">
        <v>3475</v>
      </c>
      <c r="C21" s="7" t="s">
        <v>3476</v>
      </c>
      <c r="D21" s="7" t="s">
        <v>3477</v>
      </c>
      <c r="E21" s="7" t="s">
        <v>3478</v>
      </c>
      <c r="F21" s="7" t="s">
        <v>3479</v>
      </c>
      <c r="G21" s="7"/>
      <c r="H21" s="7"/>
      <c r="I21" s="7"/>
      <c r="J21" s="7"/>
      <c r="K21" s="8" t="s">
        <v>3480</v>
      </c>
    </row>
    <row r="22" customFormat="false" ht="15" hidden="false" customHeight="false" outlineLevel="0" collapsed="false">
      <c r="A22" s="7" t="s">
        <v>3426</v>
      </c>
      <c r="B22" s="7" t="s">
        <v>3481</v>
      </c>
      <c r="C22" s="7" t="s">
        <v>1984</v>
      </c>
      <c r="D22" s="7" t="s">
        <v>3482</v>
      </c>
      <c r="E22" s="7" t="s">
        <v>3483</v>
      </c>
      <c r="F22" s="7" t="s">
        <v>3484</v>
      </c>
      <c r="G22" s="7"/>
      <c r="H22" s="7"/>
      <c r="I22" s="7"/>
      <c r="J22" s="7"/>
      <c r="K22" s="8" t="s">
        <v>3485</v>
      </c>
    </row>
    <row r="23" customFormat="false" ht="15" hidden="false" customHeight="false" outlineLevel="0" collapsed="false">
      <c r="A23" s="7" t="s">
        <v>3486</v>
      </c>
      <c r="B23" s="7" t="s">
        <v>3487</v>
      </c>
      <c r="C23" s="7" t="s">
        <v>3488</v>
      </c>
      <c r="D23" s="7" t="s">
        <v>3489</v>
      </c>
      <c r="E23" s="7" t="s">
        <v>3490</v>
      </c>
      <c r="F23" s="7" t="s">
        <v>3491</v>
      </c>
      <c r="G23" s="7"/>
      <c r="H23" s="7"/>
      <c r="I23" s="7"/>
      <c r="J23" s="7"/>
      <c r="K23" s="8" t="s">
        <v>3492</v>
      </c>
    </row>
    <row r="24" customFormat="false" ht="23.85" hidden="false" customHeight="false" outlineLevel="0" collapsed="false">
      <c r="A24" s="7" t="s">
        <v>3493</v>
      </c>
      <c r="B24" s="7" t="s">
        <v>3494</v>
      </c>
      <c r="C24" s="7" t="s">
        <v>119</v>
      </c>
      <c r="D24" s="7" t="s">
        <v>3495</v>
      </c>
      <c r="E24" s="7" t="s">
        <v>3496</v>
      </c>
      <c r="F24" s="7"/>
      <c r="G24" s="7"/>
      <c r="H24" s="7"/>
      <c r="I24" s="7"/>
      <c r="J24" s="7"/>
      <c r="K24" s="8" t="s">
        <v>3497</v>
      </c>
    </row>
    <row r="25" customFormat="false" ht="23.85" hidden="false" customHeight="false" outlineLevel="0" collapsed="false">
      <c r="A25" s="7" t="s">
        <v>3498</v>
      </c>
      <c r="B25" s="7" t="s">
        <v>3499</v>
      </c>
      <c r="C25" s="7" t="s">
        <v>3443</v>
      </c>
      <c r="D25" s="7" t="s">
        <v>3500</v>
      </c>
      <c r="E25" s="7" t="s">
        <v>3501</v>
      </c>
      <c r="F25" s="7"/>
      <c r="G25" s="8" t="s">
        <v>3502</v>
      </c>
      <c r="H25" s="7"/>
      <c r="I25" s="7"/>
      <c r="J25" s="7"/>
      <c r="K25" s="7"/>
    </row>
    <row r="26" customFormat="false" ht="23.85" hidden="false" customHeight="false" outlineLevel="0" collapsed="false">
      <c r="A26" s="7" t="s">
        <v>3498</v>
      </c>
      <c r="B26" s="7" t="s">
        <v>3503</v>
      </c>
      <c r="C26" s="7" t="s">
        <v>3443</v>
      </c>
      <c r="D26" s="7" t="s">
        <v>3504</v>
      </c>
      <c r="E26" s="7" t="s">
        <v>3505</v>
      </c>
      <c r="F26" s="7"/>
      <c r="G26" s="8" t="s">
        <v>3506</v>
      </c>
      <c r="H26" s="7"/>
      <c r="I26" s="7"/>
      <c r="J26" s="7"/>
      <c r="K26" s="7"/>
    </row>
    <row r="27" customFormat="false" ht="23.85" hidden="false" customHeight="false" outlineLevel="0" collapsed="false">
      <c r="A27" s="7" t="s">
        <v>3507</v>
      </c>
      <c r="B27" s="7" t="s">
        <v>3508</v>
      </c>
      <c r="C27" s="7" t="s">
        <v>3443</v>
      </c>
      <c r="D27" s="7" t="s">
        <v>3509</v>
      </c>
      <c r="E27" s="7" t="s">
        <v>3510</v>
      </c>
      <c r="F27" s="7"/>
      <c r="G27" s="8" t="s">
        <v>3511</v>
      </c>
      <c r="H27" s="7"/>
      <c r="I27" s="7"/>
      <c r="J27" s="7"/>
      <c r="K27" s="7"/>
    </row>
    <row r="28" customFormat="false" ht="23.85" hidden="false" customHeight="false" outlineLevel="0" collapsed="false">
      <c r="A28" s="7" t="s">
        <v>3426</v>
      </c>
      <c r="B28" s="7" t="s">
        <v>3512</v>
      </c>
      <c r="C28" s="7" t="s">
        <v>1829</v>
      </c>
      <c r="D28" s="7" t="s">
        <v>3513</v>
      </c>
      <c r="E28" s="7" t="s">
        <v>3514</v>
      </c>
      <c r="F28" s="7"/>
      <c r="G28" s="7"/>
      <c r="H28" s="7"/>
      <c r="I28" s="7"/>
      <c r="J28" s="7"/>
      <c r="K28" s="8" t="s">
        <v>3515</v>
      </c>
    </row>
    <row r="29" customFormat="false" ht="23.85" hidden="false" customHeight="false" outlineLevel="0" collapsed="false">
      <c r="A29" s="7" t="s">
        <v>3516</v>
      </c>
      <c r="B29" s="7" t="s">
        <v>3517</v>
      </c>
      <c r="C29" s="7" t="s">
        <v>2676</v>
      </c>
      <c r="D29" s="7" t="s">
        <v>3518</v>
      </c>
      <c r="E29" s="7" t="s">
        <v>3519</v>
      </c>
      <c r="F29" s="7"/>
      <c r="G29" s="7"/>
      <c r="H29" s="7"/>
      <c r="I29" s="7"/>
      <c r="J29" s="7"/>
      <c r="K29" s="8" t="s">
        <v>3520</v>
      </c>
    </row>
    <row r="30" customFormat="false" ht="46.25" hidden="false" customHeight="false" outlineLevel="0" collapsed="false">
      <c r="A30" s="7" t="s">
        <v>3521</v>
      </c>
      <c r="B30" s="7" t="s">
        <v>3522</v>
      </c>
      <c r="C30" s="7" t="s">
        <v>3523</v>
      </c>
      <c r="D30" s="7" t="s">
        <v>3524</v>
      </c>
      <c r="E30" s="7" t="s">
        <v>3525</v>
      </c>
      <c r="F30" s="7"/>
      <c r="G30" s="7"/>
      <c r="H30" s="7"/>
      <c r="I30" s="7"/>
      <c r="J30" s="7"/>
      <c r="K30" s="8" t="s">
        <v>3526</v>
      </c>
    </row>
    <row r="31" customFormat="false" ht="23.85" hidden="false" customHeight="false" outlineLevel="0" collapsed="false">
      <c r="A31" s="7" t="s">
        <v>3527</v>
      </c>
      <c r="B31" s="7" t="s">
        <v>3528</v>
      </c>
      <c r="C31" s="7" t="s">
        <v>2686</v>
      </c>
      <c r="D31" s="7" t="s">
        <v>3529</v>
      </c>
      <c r="E31" s="7" t="s">
        <v>3530</v>
      </c>
      <c r="F31" s="7"/>
      <c r="G31" s="7"/>
      <c r="H31" s="7"/>
      <c r="I31" s="7"/>
      <c r="J31" s="7"/>
      <c r="K31" s="8" t="s">
        <v>3531</v>
      </c>
    </row>
  </sheetData>
  <autoFilter ref="A1:K31"/>
  <hyperlinks>
    <hyperlink ref="K2" r:id="rId1" display="https://www.indiamart.com/arrowhospitalityconsulting/restaurant-and-cafe-franchise-consulting.html"/>
    <hyperlink ref="G3" r:id="rId2" display="https://kaapimachines.com/coffee-consulting-services/"/>
    <hyperlink ref="K3" r:id="rId3" display="https://kaapimachines.com/blogs/cafe-consulting/coffee-project-consulting/"/>
    <hyperlink ref="G4" r:id="rId4" display="https://kaapisolutions.com/cafe-setup-consultancy/"/>
    <hyperlink ref="K4" r:id="rId5" display="https://kaapisolutions.com/cafe-setup-consultancy/"/>
    <hyperlink ref="G5" r:id="rId6" display="https://www.westendcoffee.co/cafe-consulting-services/"/>
    <hyperlink ref="K5" r:id="rId7" display="https://www.westendcoffee.co/cafe-consulting-services/"/>
    <hyperlink ref="G6" r:id="rId8" display="https://www.takumibrew.com/"/>
    <hyperlink ref="K6" r:id="rId9" display="https://www.takumibrew.com/product/specialty-coffee-consulting-plan-signature-drinks/"/>
    <hyperlink ref="K7" r:id="rId10" display="https://www.instagram.com/barista.training.academy/"/>
    <hyperlink ref="K8" r:id="rId11" display="https://www.instagram.com/baristacafeacademy/"/>
    <hyperlink ref="K9" r:id="rId12" display="https://www.instagram.com/specialtycoffeeacademyindia/"/>
    <hyperlink ref="K10" r:id="rId13" display="https://www.instagram.com/indian_barista/"/>
    <hyperlink ref="G11" r:id="rId14" display="https://mumbaicoffeecollective.com/"/>
    <hyperlink ref="K11" r:id="rId15" display="https://mumbaicoffeecollective.com/pages/specialty-coffee-mumbai"/>
    <hyperlink ref="K12" r:id="rId16" display="https://www.instagram.com/jaipurcoffeecommunity/"/>
    <hyperlink ref="G13" r:id="rId17" display="https://www.reddit.com/r/PuneCoffee/"/>
    <hyperlink ref="K13" r:id="rId18" display="https://redlib.groet-infra.nl/r/PuneCoffee/new"/>
    <hyperlink ref="G14" r:id="rId19" display="https://caramelly.in/collections/roaster-market"/>
    <hyperlink ref="K14" r:id="rId20" display="https://caramelly.in/collections/roaster-market"/>
    <hyperlink ref="G15" r:id="rId21" display="https://www.indiancoffeebeans.com/roasters"/>
    <hyperlink ref="K15" r:id="rId22" display="https://www.indiancoffeebeans.com/roasters"/>
    <hyperlink ref="G16" r:id="rId23" display="https://specialitycoffeeonline.com/speciality-coffee-statistics/india/pune/"/>
    <hyperlink ref="K16" r:id="rId24" display="https://specialitycoffeeonline.com/speciality-coffee-statistics/india/pune/"/>
    <hyperlink ref="K17" r:id="rId25" display="https://www.withorbital.com/conferences/world-tea-and-coffee-expo-india-2026"/>
    <hyperlink ref="K18" r:id="rId26" display="https://www.timeout.com/india/news/indias-biggest-coffee-festival-is-finally-back-in-bengaluru-021226"/>
    <hyperlink ref="K19" r:id="rId27" display="https://www.instagram.com/cafeamado.in/"/>
    <hyperlink ref="K20" r:id="rId28" display="https://www.instagram.com/goaspecialtycoffee/"/>
    <hyperlink ref="K21" r:id="rId29" display="https://www.instagram.com/cafesofchandigarh/"/>
    <hyperlink ref="K22" r:id="rId30" display="https://www.instagram.com/cafesinudaipur/"/>
    <hyperlink ref="K23" r:id="rId31" display="https://www.instagram.com/brown_valley/"/>
    <hyperlink ref="K24" r:id="rId32" display="https://thenodmag.com/content/pardon-our-french-pooja-dhingra-cafe-ballard-estate-mumbai-review"/>
    <hyperlink ref="G25" r:id="rId33" display="https://www.thewaytocoffee.com"/>
    <hyperlink ref="G26" r:id="rId34" display="https://somethingsbrewing.in"/>
    <hyperlink ref="G27" r:id="rId35" display="https://www.pulled.coffee"/>
    <hyperlink ref="K28" r:id="rId36" display="https://www.freepressjournal.in/indore/brewing-dreams-into-reality-meet-the-passionate-founders-of-indore-brewing-club-stirring-up-a-revolution-one-cup-at-a-time"/>
    <hyperlink ref="K29" r:id="rId37" display="https://rootsandleisure.com/nagaland-coffee-shop-dimapur/"/>
    <hyperlink ref="K30" r:id="rId38" display="https://morungexpress.com/coffees-of-nagaland-is-truly-a-whole-of-india-approach-bringing-all-stakeholders-together-scindia"/>
    <hyperlink ref="K31" r:id="rId39" display="https://eastmojo.com/top-news/2024/12/10/mizoram-gets-northeast-indias-first-coffee-experience-cent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0"/>
  </cols>
  <sheetData>
    <row r="1" customFormat="false" ht="30" hidden="false" customHeight="true" outlineLevel="0" collapsed="false">
      <c r="A1" s="6" t="s">
        <v>3532</v>
      </c>
      <c r="B1" s="6" t="s">
        <v>3533</v>
      </c>
    </row>
    <row r="2" customFormat="false" ht="15" hidden="false" customHeight="false" outlineLevel="0" collapsed="false">
      <c r="A2" s="7" t="s">
        <v>3534</v>
      </c>
      <c r="B2" s="7" t="s">
        <v>3535</v>
      </c>
    </row>
    <row r="3" customFormat="false" ht="15" hidden="false" customHeight="false" outlineLevel="0" collapsed="false">
      <c r="A3" s="7" t="s">
        <v>3536</v>
      </c>
      <c r="B3" s="7" t="s">
        <v>3537</v>
      </c>
    </row>
    <row r="4" customFormat="false" ht="15" hidden="false" customHeight="false" outlineLevel="0" collapsed="false">
      <c r="A4" s="7" t="s">
        <v>3538</v>
      </c>
      <c r="B4" s="7" t="s">
        <v>3539</v>
      </c>
    </row>
    <row r="5" customFormat="false" ht="15" hidden="false" customHeight="false" outlineLevel="0" collapsed="false">
      <c r="A5" s="7" t="s">
        <v>3540</v>
      </c>
      <c r="B5" s="7" t="s">
        <v>3541</v>
      </c>
    </row>
    <row r="6" customFormat="false" ht="15" hidden="false" customHeight="false" outlineLevel="0" collapsed="false">
      <c r="A6" s="7" t="s">
        <v>3542</v>
      </c>
      <c r="B6" s="7" t="s">
        <v>3543</v>
      </c>
    </row>
    <row r="7" customFormat="false" ht="15" hidden="false" customHeight="false" outlineLevel="0" collapsed="false">
      <c r="A7" s="7" t="s">
        <v>3544</v>
      </c>
      <c r="B7" s="7" t="s">
        <v>3545</v>
      </c>
    </row>
    <row r="8" customFormat="false" ht="15" hidden="false" customHeight="false" outlineLevel="0" collapsed="false">
      <c r="A8" s="7" t="s">
        <v>3546</v>
      </c>
      <c r="B8" s="7" t="s">
        <v>3547</v>
      </c>
    </row>
    <row r="9" customFormat="false" ht="15" hidden="false" customHeight="false" outlineLevel="0" collapsed="false">
      <c r="A9" s="7" t="s">
        <v>3548</v>
      </c>
      <c r="B9" s="7" t="s">
        <v>3549</v>
      </c>
    </row>
    <row r="10" customFormat="false" ht="15" hidden="false" customHeight="false" outlineLevel="0" collapsed="false">
      <c r="A10" s="7" t="s">
        <v>3550</v>
      </c>
      <c r="B10" s="7" t="s">
        <v>3551</v>
      </c>
    </row>
    <row r="11" customFormat="false" ht="15" hidden="false" customHeight="false" outlineLevel="0" collapsed="false">
      <c r="A11" s="7" t="s">
        <v>3552</v>
      </c>
      <c r="B11" s="7" t="s">
        <v>3553</v>
      </c>
    </row>
    <row r="12" customFormat="false" ht="15" hidden="false" customHeight="false" outlineLevel="0" collapsed="false">
      <c r="A12" s="7" t="s">
        <v>3554</v>
      </c>
      <c r="B12" s="7" t="s">
        <v>3555</v>
      </c>
    </row>
    <row r="13" customFormat="false" ht="23.85" hidden="false" customHeight="false" outlineLevel="0" collapsed="false">
      <c r="A13" s="7" t="s">
        <v>3556</v>
      </c>
      <c r="B13" s="7" t="s">
        <v>3557</v>
      </c>
    </row>
    <row r="14" customFormat="false" ht="15" hidden="false" customHeight="false" outlineLevel="0" collapsed="false">
      <c r="A14" s="7" t="s">
        <v>3558</v>
      </c>
      <c r="B14" s="7" t="s">
        <v>3559</v>
      </c>
    </row>
    <row r="15" customFormat="false" ht="23.85" hidden="false" customHeight="false" outlineLevel="0" collapsed="false">
      <c r="A15" s="7" t="s">
        <v>3560</v>
      </c>
      <c r="B15" s="7" t="s">
        <v>3561</v>
      </c>
    </row>
    <row r="16" customFormat="false" ht="15" hidden="false" customHeight="false" outlineLevel="0" collapsed="false">
      <c r="A16" s="7" t="s">
        <v>3562</v>
      </c>
      <c r="B16" s="7" t="s">
        <v>3563</v>
      </c>
    </row>
    <row r="17" customFormat="false" ht="15" hidden="false" customHeight="false" outlineLevel="0" collapsed="false">
      <c r="A17" s="7" t="s">
        <v>3564</v>
      </c>
      <c r="B17" s="7" t="s">
        <v>3565</v>
      </c>
    </row>
    <row r="18" customFormat="false" ht="23.85" hidden="false" customHeight="false" outlineLevel="0" collapsed="false">
      <c r="A18" s="7" t="s">
        <v>3566</v>
      </c>
      <c r="B18" s="7" t="s">
        <v>3567</v>
      </c>
    </row>
    <row r="19" customFormat="false" ht="23.85" hidden="false" customHeight="false" outlineLevel="0" collapsed="false">
      <c r="A19" s="7" t="s">
        <v>3568</v>
      </c>
      <c r="B19" s="7" t="s">
        <v>3567</v>
      </c>
    </row>
    <row r="20" customFormat="false" ht="23.85" hidden="false" customHeight="false" outlineLevel="0" collapsed="false">
      <c r="A20" s="7" t="s">
        <v>3569</v>
      </c>
      <c r="B20" s="7" t="s">
        <v>3567</v>
      </c>
    </row>
    <row r="21" customFormat="false" ht="23.85" hidden="false" customHeight="false" outlineLevel="0" collapsed="false">
      <c r="A21" s="7" t="s">
        <v>3570</v>
      </c>
      <c r="B21" s="7" t="s">
        <v>3571</v>
      </c>
    </row>
    <row r="22" customFormat="false" ht="15" hidden="false" customHeight="false" outlineLevel="0" collapsed="false">
      <c r="A22" s="7" t="s">
        <v>3572</v>
      </c>
      <c r="B22" s="7" t="s">
        <v>3573</v>
      </c>
    </row>
    <row r="23" customFormat="false" ht="15" hidden="false" customHeight="false" outlineLevel="0" collapsed="false">
      <c r="A23" s="7" t="s">
        <v>2831</v>
      </c>
      <c r="B23" s="7" t="s">
        <v>3574</v>
      </c>
    </row>
  </sheetData>
  <autoFilter ref="A1:B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7" min="2" style="0" width="15"/>
  </cols>
  <sheetData>
    <row r="1" customFormat="false" ht="15" hidden="false" customHeight="false" outlineLevel="0" collapsed="false">
      <c r="A1" s="9" t="s">
        <v>49</v>
      </c>
      <c r="B1" s="9" t="s">
        <v>3575</v>
      </c>
      <c r="C1" s="9" t="s">
        <v>78</v>
      </c>
      <c r="D1" s="9" t="s">
        <v>98</v>
      </c>
      <c r="E1" s="9" t="s">
        <v>3576</v>
      </c>
      <c r="F1" s="9" t="s">
        <v>3577</v>
      </c>
      <c r="G1" s="9" t="s">
        <v>38</v>
      </c>
    </row>
    <row r="2" customFormat="false" ht="15" hidden="false" customHeight="false" outlineLevel="0" collapsed="false">
      <c r="A2" s="4" t="s">
        <v>82</v>
      </c>
      <c r="B2" s="4" t="n">
        <f aca="false">COUNTIF('All Cafes (Premium+Normal)'!$H$2:$H$281,A2)</f>
        <v>86</v>
      </c>
      <c r="C2" s="4" t="n">
        <f aca="false">COUNTIFS('All Cafes (Premium+Normal)'!$H$2:$H$281,A2,'All Cafes (Premium+Normal)'!$D$2:$D$281,"Premium")</f>
        <v>32</v>
      </c>
      <c r="D2" s="4" t="n">
        <f aca="false">COUNTIFS('All Cafes (Premium+Normal)'!$H$2:$H$281,A2,'All Cafes (Premium+Normal)'!$D$2:$D$281,"Normal")</f>
        <v>54</v>
      </c>
      <c r="E2" s="4" t="n">
        <f aca="false">COUNTIFS('All Cafes (Premium+Normal)'!$H$2:$H$281,A2,'All Cafes (Premium+Normal)'!$B$2:$B$281,"A")</f>
        <v>24</v>
      </c>
      <c r="F2" s="4" t="n">
        <f aca="false">COUNTIF('All Cafes (Premium+Normal)'!$H$2:$H$281,A2)-COUNTIFS('All Cafes (Premium+Normal)'!$H$2:$H$281,A2,'All Cafes (Premium+Normal)'!$C$2:$C$281,"Established")</f>
        <v>45</v>
      </c>
      <c r="G2" s="4" t="n">
        <f aca="false">COUNTIF(Roasters!$E$2:$E$95,A2)</f>
        <v>20</v>
      </c>
    </row>
    <row r="3" customFormat="false" ht="15" hidden="false" customHeight="false" outlineLevel="0" collapsed="false">
      <c r="A3" s="4" t="s">
        <v>714</v>
      </c>
      <c r="B3" s="4" t="n">
        <f aca="false">COUNTIF('All Cafes (Premium+Normal)'!$H$2:$H$281,A3)</f>
        <v>34</v>
      </c>
      <c r="C3" s="4" t="n">
        <f aca="false">COUNTIFS('All Cafes (Premium+Normal)'!$H$2:$H$281,A3,'All Cafes (Premium+Normal)'!$D$2:$D$281,"Premium")</f>
        <v>12</v>
      </c>
      <c r="D3" s="4" t="n">
        <f aca="false">COUNTIFS('All Cafes (Premium+Normal)'!$H$2:$H$281,A3,'All Cafes (Premium+Normal)'!$D$2:$D$281,"Normal")</f>
        <v>22</v>
      </c>
      <c r="E3" s="4" t="n">
        <f aca="false">COUNTIFS('All Cafes (Premium+Normal)'!$H$2:$H$281,A3,'All Cafes (Premium+Normal)'!$B$2:$B$281,"A")</f>
        <v>3</v>
      </c>
      <c r="F3" s="4" t="n">
        <f aca="false">COUNTIF('All Cafes (Premium+Normal)'!$H$2:$H$281,A3)-COUNTIFS('All Cafes (Premium+Normal)'!$H$2:$H$281,A3,'All Cafes (Premium+Normal)'!$C$2:$C$281,"Established")</f>
        <v>4</v>
      </c>
      <c r="G3" s="4" t="n">
        <f aca="false">COUNTIF(Roasters!$E$2:$E$95,A3)</f>
        <v>8</v>
      </c>
    </row>
    <row r="4" customFormat="false" ht="15" hidden="false" customHeight="false" outlineLevel="0" collapsed="false">
      <c r="A4" s="4" t="s">
        <v>289</v>
      </c>
      <c r="B4" s="4" t="n">
        <f aca="false">COUNTIF('All Cafes (Premium+Normal)'!$H$2:$H$281,A4)</f>
        <v>20</v>
      </c>
      <c r="C4" s="4" t="n">
        <f aca="false">COUNTIFS('All Cafes (Premium+Normal)'!$H$2:$H$281,A4,'All Cafes (Premium+Normal)'!$D$2:$D$281,"Premium")</f>
        <v>8</v>
      </c>
      <c r="D4" s="4" t="n">
        <f aca="false">COUNTIFS('All Cafes (Premium+Normal)'!$H$2:$H$281,A4,'All Cafes (Premium+Normal)'!$D$2:$D$281,"Normal")</f>
        <v>12</v>
      </c>
      <c r="E4" s="4" t="n">
        <f aca="false">COUNTIFS('All Cafes (Premium+Normal)'!$H$2:$H$281,A4,'All Cafes (Premium+Normal)'!$B$2:$B$281,"A")</f>
        <v>2</v>
      </c>
      <c r="F4" s="4" t="n">
        <f aca="false">COUNTIF('All Cafes (Premium+Normal)'!$H$2:$H$281,A4)-COUNTIFS('All Cafes (Premium+Normal)'!$H$2:$H$281,A4,'All Cafes (Premium+Normal)'!$C$2:$C$281,"Established")</f>
        <v>4</v>
      </c>
      <c r="G4" s="4" t="n">
        <f aca="false">COUNTIF(Roasters!$E$2:$E$95,A4)</f>
        <v>5</v>
      </c>
    </row>
    <row r="5" customFormat="false" ht="15" hidden="false" customHeight="false" outlineLevel="0" collapsed="false">
      <c r="A5" s="4" t="s">
        <v>1762</v>
      </c>
      <c r="B5" s="4" t="n">
        <f aca="false">COUNTIF('All Cafes (Premium+Normal)'!$H$2:$H$281,A5)</f>
        <v>15</v>
      </c>
      <c r="C5" s="4" t="n">
        <f aca="false">COUNTIFS('All Cafes (Premium+Normal)'!$H$2:$H$281,A5,'All Cafes (Premium+Normal)'!$D$2:$D$281,"Premium")</f>
        <v>5</v>
      </c>
      <c r="D5" s="4" t="n">
        <f aca="false">COUNTIFS('All Cafes (Premium+Normal)'!$H$2:$H$281,A5,'All Cafes (Premium+Normal)'!$D$2:$D$281,"Normal")</f>
        <v>10</v>
      </c>
      <c r="E5" s="4" t="n">
        <f aca="false">COUNTIFS('All Cafes (Premium+Normal)'!$H$2:$H$281,A5,'All Cafes (Premium+Normal)'!$B$2:$B$281,"A")</f>
        <v>2</v>
      </c>
      <c r="F5" s="4" t="n">
        <f aca="false">COUNTIF('All Cafes (Premium+Normal)'!$H$2:$H$281,A5)-COUNTIFS('All Cafes (Premium+Normal)'!$H$2:$H$281,A5,'All Cafes (Premium+Normal)'!$C$2:$C$281,"Established")</f>
        <v>0</v>
      </c>
      <c r="G5" s="4" t="n">
        <f aca="false">COUNTIF(Roasters!$E$2:$E$95,A5)</f>
        <v>2</v>
      </c>
    </row>
    <row r="6" customFormat="false" ht="15" hidden="false" customHeight="false" outlineLevel="0" collapsed="false">
      <c r="A6" s="4" t="s">
        <v>307</v>
      </c>
      <c r="B6" s="4" t="n">
        <f aca="false">COUNTIF('All Cafes (Premium+Normal)'!$H$2:$H$281,A6)</f>
        <v>1</v>
      </c>
      <c r="C6" s="4" t="n">
        <f aca="false">COUNTIFS('All Cafes (Premium+Normal)'!$H$2:$H$281,A6,'All Cafes (Premium+Normal)'!$D$2:$D$281,"Premium")</f>
        <v>1</v>
      </c>
      <c r="D6" s="4" t="n">
        <f aca="false">COUNTIFS('All Cafes (Premium+Normal)'!$H$2:$H$281,A6,'All Cafes (Premium+Normal)'!$D$2:$D$281,"Normal")</f>
        <v>0</v>
      </c>
      <c r="E6" s="4" t="n">
        <f aca="false">COUNTIFS('All Cafes (Premium+Normal)'!$H$2:$H$281,A6,'All Cafes (Premium+Normal)'!$B$2:$B$281,"A")</f>
        <v>1</v>
      </c>
      <c r="F6" s="4" t="n">
        <f aca="false">COUNTIF('All Cafes (Premium+Normal)'!$H$2:$H$281,A6)-COUNTIFS('All Cafes (Premium+Normal)'!$H$2:$H$281,A6,'All Cafes (Premium+Normal)'!$C$2:$C$281,"Established")</f>
        <v>1</v>
      </c>
      <c r="G6" s="4" t="n">
        <f aca="false">COUNTIF(Roasters!$E$2:$E$95,A6)</f>
        <v>0</v>
      </c>
    </row>
    <row r="7" customFormat="false" ht="15" hidden="false" customHeight="false" outlineLevel="0" collapsed="false">
      <c r="A7" s="4" t="s">
        <v>318</v>
      </c>
      <c r="B7" s="4" t="n">
        <f aca="false">COUNTIF('All Cafes (Premium+Normal)'!$H$2:$H$281,A7)</f>
        <v>16</v>
      </c>
      <c r="C7" s="4" t="n">
        <f aca="false">COUNTIFS('All Cafes (Premium+Normal)'!$H$2:$H$281,A7,'All Cafes (Premium+Normal)'!$D$2:$D$281,"Premium")</f>
        <v>9</v>
      </c>
      <c r="D7" s="4" t="n">
        <f aca="false">COUNTIFS('All Cafes (Premium+Normal)'!$H$2:$H$281,A7,'All Cafes (Premium+Normal)'!$D$2:$D$281,"Normal")</f>
        <v>7</v>
      </c>
      <c r="E7" s="4" t="n">
        <f aca="false">COUNTIFS('All Cafes (Premium+Normal)'!$H$2:$H$281,A7,'All Cafes (Premium+Normal)'!$B$2:$B$281,"A")</f>
        <v>4</v>
      </c>
      <c r="F7" s="4" t="n">
        <f aca="false">COUNTIF('All Cafes (Premium+Normal)'!$H$2:$H$281,A7)-COUNTIFS('All Cafes (Premium+Normal)'!$H$2:$H$281,A7,'All Cafes (Premium+Normal)'!$C$2:$C$281,"Established")</f>
        <v>5</v>
      </c>
      <c r="G7" s="4" t="n">
        <f aca="false">COUNTIF(Roasters!$E$2:$E$95,A7)</f>
        <v>11</v>
      </c>
    </row>
    <row r="8" customFormat="false" ht="15" hidden="false" customHeight="false" outlineLevel="0" collapsed="false">
      <c r="A8" s="4" t="s">
        <v>102</v>
      </c>
      <c r="B8" s="4" t="n">
        <f aca="false">COUNTIF('All Cafes (Premium+Normal)'!$H$2:$H$281,A8)</f>
        <v>24</v>
      </c>
      <c r="C8" s="4" t="n">
        <f aca="false">COUNTIFS('All Cafes (Premium+Normal)'!$H$2:$H$281,A8,'All Cafes (Premium+Normal)'!$D$2:$D$281,"Premium")</f>
        <v>10</v>
      </c>
      <c r="D8" s="4" t="n">
        <f aca="false">COUNTIFS('All Cafes (Premium+Normal)'!$H$2:$H$281,A8,'All Cafes (Premium+Normal)'!$D$2:$D$281,"Normal")</f>
        <v>14</v>
      </c>
      <c r="E8" s="4" t="n">
        <f aca="false">COUNTIFS('All Cafes (Premium+Normal)'!$H$2:$H$281,A8,'All Cafes (Premium+Normal)'!$B$2:$B$281,"A")</f>
        <v>9</v>
      </c>
      <c r="F8" s="4" t="n">
        <f aca="false">COUNTIF('All Cafes (Premium+Normal)'!$H$2:$H$281,A8)-COUNTIFS('All Cafes (Premium+Normal)'!$H$2:$H$281,A8,'All Cafes (Premium+Normal)'!$C$2:$C$281,"Established")</f>
        <v>14</v>
      </c>
      <c r="G8" s="4" t="n">
        <f aca="false">COUNTIF(Roasters!$E$2:$E$95,A8)</f>
        <v>12</v>
      </c>
    </row>
    <row r="9" customFormat="false" ht="15" hidden="false" customHeight="false" outlineLevel="0" collapsed="false">
      <c r="A9" s="4" t="s">
        <v>2088</v>
      </c>
      <c r="B9" s="4" t="n">
        <f aca="false">COUNTIF('All Cafes (Premium+Normal)'!$H$2:$H$281,A9)</f>
        <v>2</v>
      </c>
      <c r="C9" s="4" t="n">
        <f aca="false">COUNTIFS('All Cafes (Premium+Normal)'!$H$2:$H$281,A9,'All Cafes (Premium+Normal)'!$D$2:$D$281,"Premium")</f>
        <v>0</v>
      </c>
      <c r="D9" s="4" t="n">
        <f aca="false">COUNTIFS('All Cafes (Premium+Normal)'!$H$2:$H$281,A9,'All Cafes (Premium+Normal)'!$D$2:$D$281,"Normal")</f>
        <v>2</v>
      </c>
      <c r="E9" s="4" t="n">
        <f aca="false">COUNTIFS('All Cafes (Premium+Normal)'!$H$2:$H$281,A9,'All Cafes (Premium+Normal)'!$B$2:$B$281,"A")</f>
        <v>0</v>
      </c>
      <c r="F9" s="4" t="n">
        <f aca="false">COUNTIF('All Cafes (Premium+Normal)'!$H$2:$H$281,A9)-COUNTIFS('All Cafes (Premium+Normal)'!$H$2:$H$281,A9,'All Cafes (Premium+Normal)'!$C$2:$C$281,"Established")</f>
        <v>0</v>
      </c>
      <c r="G9" s="4" t="n">
        <f aca="false">COUNTIF(Roasters!$E$2:$E$95,A9)</f>
        <v>0</v>
      </c>
    </row>
    <row r="10" customFormat="false" ht="15" hidden="false" customHeight="false" outlineLevel="0" collapsed="false">
      <c r="A10" s="4" t="s">
        <v>428</v>
      </c>
      <c r="B10" s="4" t="n">
        <f aca="false">COUNTIF('All Cafes (Premium+Normal)'!$H$2:$H$281,A10)</f>
        <v>11</v>
      </c>
      <c r="C10" s="4" t="n">
        <f aca="false">COUNTIFS('All Cafes (Premium+Normal)'!$H$2:$H$281,A10,'All Cafes (Premium+Normal)'!$D$2:$D$281,"Premium")</f>
        <v>6</v>
      </c>
      <c r="D10" s="4" t="n">
        <f aca="false">COUNTIFS('All Cafes (Premium+Normal)'!$H$2:$H$281,A10,'All Cafes (Premium+Normal)'!$D$2:$D$281,"Normal")</f>
        <v>5</v>
      </c>
      <c r="E10" s="4" t="n">
        <f aca="false">COUNTIFS('All Cafes (Premium+Normal)'!$H$2:$H$281,A10,'All Cafes (Premium+Normal)'!$B$2:$B$281,"A")</f>
        <v>4</v>
      </c>
      <c r="F10" s="4" t="n">
        <f aca="false">COUNTIF('All Cafes (Premium+Normal)'!$H$2:$H$281,A10)-COUNTIFS('All Cafes (Premium+Normal)'!$H$2:$H$281,A10,'All Cafes (Premium+Normal)'!$C$2:$C$281,"Established")</f>
        <v>7</v>
      </c>
      <c r="G10" s="4" t="n">
        <f aca="false">COUNTIF(Roasters!$E$2:$E$95,A10)</f>
        <v>4</v>
      </c>
    </row>
    <row r="11" customFormat="false" ht="15" hidden="false" customHeight="false" outlineLevel="0" collapsed="false">
      <c r="A11" s="4" t="s">
        <v>459</v>
      </c>
      <c r="B11" s="4" t="n">
        <f aca="false">COUNTIF('All Cafes (Premium+Normal)'!$H$2:$H$281,A11)</f>
        <v>17</v>
      </c>
      <c r="C11" s="4" t="n">
        <f aca="false">COUNTIFS('All Cafes (Premium+Normal)'!$H$2:$H$281,A11,'All Cafes (Premium+Normal)'!$D$2:$D$281,"Premium")</f>
        <v>7</v>
      </c>
      <c r="D11" s="4" t="n">
        <f aca="false">COUNTIFS('All Cafes (Premium+Normal)'!$H$2:$H$281,A11,'All Cafes (Premium+Normal)'!$D$2:$D$281,"Normal")</f>
        <v>10</v>
      </c>
      <c r="E11" s="4" t="n">
        <f aca="false">COUNTIFS('All Cafes (Premium+Normal)'!$H$2:$H$281,A11,'All Cafes (Premium+Normal)'!$B$2:$B$281,"A")</f>
        <v>6</v>
      </c>
      <c r="F11" s="4" t="n">
        <f aca="false">COUNTIF('All Cafes (Premium+Normal)'!$H$2:$H$281,A11)-COUNTIFS('All Cafes (Premium+Normal)'!$H$2:$H$281,A11,'All Cafes (Premium+Normal)'!$C$2:$C$281,"Established")</f>
        <v>4</v>
      </c>
      <c r="G11" s="4" t="n">
        <f aca="false">COUNTIF(Roasters!$E$2:$E$95,A11)</f>
        <v>1</v>
      </c>
    </row>
    <row r="12" customFormat="false" ht="15" hidden="false" customHeight="false" outlineLevel="0" collapsed="false">
      <c r="A12" s="4" t="s">
        <v>589</v>
      </c>
      <c r="B12" s="4" t="n">
        <f aca="false">COUNTIF('All Cafes (Premium+Normal)'!$H$2:$H$281,A12)</f>
        <v>9</v>
      </c>
      <c r="C12" s="4" t="n">
        <f aca="false">COUNTIFS('All Cafes (Premium+Normal)'!$H$2:$H$281,A12,'All Cafes (Premium+Normal)'!$D$2:$D$281,"Premium")</f>
        <v>2</v>
      </c>
      <c r="D12" s="4" t="n">
        <f aca="false">COUNTIFS('All Cafes (Premium+Normal)'!$H$2:$H$281,A12,'All Cafes (Premium+Normal)'!$D$2:$D$281,"Normal")</f>
        <v>7</v>
      </c>
      <c r="E12" s="4" t="n">
        <f aca="false">COUNTIFS('All Cafes (Premium+Normal)'!$H$2:$H$281,A12,'All Cafes (Premium+Normal)'!$B$2:$B$281,"A")</f>
        <v>2</v>
      </c>
      <c r="F12" s="4" t="n">
        <f aca="false">COUNTIF('All Cafes (Premium+Normal)'!$H$2:$H$281,A12)-COUNTIFS('All Cafes (Premium+Normal)'!$H$2:$H$281,A12,'All Cafes (Premium+Normal)'!$C$2:$C$281,"Established")</f>
        <v>2</v>
      </c>
      <c r="G12" s="4" t="n">
        <f aca="false">COUNTIF(Roasters!$E$2:$E$95,A12)</f>
        <v>2</v>
      </c>
    </row>
    <row r="13" customFormat="false" ht="15" hidden="false" customHeight="false" outlineLevel="0" collapsed="false">
      <c r="A13" s="4" t="s">
        <v>2333</v>
      </c>
      <c r="B13" s="4" t="n">
        <f aca="false">COUNTIF('All Cafes (Premium+Normal)'!$H$2:$H$281,A13)</f>
        <v>4</v>
      </c>
      <c r="C13" s="4" t="n">
        <f aca="false">COUNTIFS('All Cafes (Premium+Normal)'!$H$2:$H$281,A13,'All Cafes (Premium+Normal)'!$D$2:$D$281,"Premium")</f>
        <v>1</v>
      </c>
      <c r="D13" s="4" t="n">
        <f aca="false">COUNTIFS('All Cafes (Premium+Normal)'!$H$2:$H$281,A13,'All Cafes (Premium+Normal)'!$D$2:$D$281,"Normal")</f>
        <v>3</v>
      </c>
      <c r="E13" s="4" t="n">
        <f aca="false">COUNTIFS('All Cafes (Premium+Normal)'!$H$2:$H$281,A13,'All Cafes (Premium+Normal)'!$B$2:$B$281,"A")</f>
        <v>0</v>
      </c>
      <c r="F13" s="4" t="n">
        <f aca="false">COUNTIF('All Cafes (Premium+Normal)'!$H$2:$H$281,A13)-COUNTIFS('All Cafes (Premium+Normal)'!$H$2:$H$281,A13,'All Cafes (Premium+Normal)'!$C$2:$C$281,"Established")</f>
        <v>0</v>
      </c>
      <c r="G13" s="4" t="n">
        <f aca="false">COUNTIF(Roasters!$E$2:$E$95,A13)</f>
        <v>2</v>
      </c>
    </row>
    <row r="14" customFormat="false" ht="15" hidden="false" customHeight="false" outlineLevel="0" collapsed="false">
      <c r="A14" s="4" t="s">
        <v>2360</v>
      </c>
      <c r="B14" s="4" t="n">
        <f aca="false">COUNTIF('All Cafes (Premium+Normal)'!$H$2:$H$281,A14)</f>
        <v>3</v>
      </c>
      <c r="C14" s="4" t="n">
        <f aca="false">COUNTIFS('All Cafes (Premium+Normal)'!$H$2:$H$281,A14,'All Cafes (Premium+Normal)'!$D$2:$D$281,"Premium")</f>
        <v>1</v>
      </c>
      <c r="D14" s="4" t="n">
        <f aca="false">COUNTIFS('All Cafes (Premium+Normal)'!$H$2:$H$281,A14,'All Cafes (Premium+Normal)'!$D$2:$D$281,"Normal")</f>
        <v>2</v>
      </c>
      <c r="E14" s="4" t="n">
        <f aca="false">COUNTIFS('All Cafes (Premium+Normal)'!$H$2:$H$281,A14,'All Cafes (Premium+Normal)'!$B$2:$B$281,"A")</f>
        <v>0</v>
      </c>
      <c r="F14" s="4" t="n">
        <f aca="false">COUNTIF('All Cafes (Premium+Normal)'!$H$2:$H$281,A14)-COUNTIFS('All Cafes (Premium+Normal)'!$H$2:$H$281,A14,'All Cafes (Premium+Normal)'!$C$2:$C$281,"Established")</f>
        <v>0</v>
      </c>
      <c r="G14" s="4" t="n">
        <f aca="false">COUNTIF(Roasters!$E$2:$E$95,A14)</f>
        <v>2</v>
      </c>
    </row>
    <row r="15" customFormat="false" ht="15" hidden="false" customHeight="false" outlineLevel="0" collapsed="false">
      <c r="A15" s="4" t="s">
        <v>2388</v>
      </c>
      <c r="B15" s="4" t="n">
        <f aca="false">COUNTIF('All Cafes (Premium+Normal)'!$H$2:$H$281,A15)</f>
        <v>4</v>
      </c>
      <c r="C15" s="4" t="n">
        <f aca="false">COUNTIFS('All Cafes (Premium+Normal)'!$H$2:$H$281,A15,'All Cafes (Premium+Normal)'!$D$2:$D$281,"Premium")</f>
        <v>3</v>
      </c>
      <c r="D15" s="4" t="n">
        <f aca="false">COUNTIFS('All Cafes (Premium+Normal)'!$H$2:$H$281,A15,'All Cafes (Premium+Normal)'!$D$2:$D$281,"Normal")</f>
        <v>1</v>
      </c>
      <c r="E15" s="4" t="n">
        <f aca="false">COUNTIFS('All Cafes (Premium+Normal)'!$H$2:$H$281,A15,'All Cafes (Premium+Normal)'!$B$2:$B$281,"A")</f>
        <v>0</v>
      </c>
      <c r="F15" s="4" t="n">
        <f aca="false">COUNTIF('All Cafes (Premium+Normal)'!$H$2:$H$281,A15)-COUNTIFS('All Cafes (Premium+Normal)'!$H$2:$H$281,A15,'All Cafes (Premium+Normal)'!$C$2:$C$281,"Established")</f>
        <v>0</v>
      </c>
      <c r="G15" s="4" t="n">
        <f aca="false">COUNTIF(Roasters!$E$2:$E$95,A15)</f>
        <v>0</v>
      </c>
    </row>
    <row r="16" customFormat="false" ht="15" hidden="false" customHeight="false" outlineLevel="0" collapsed="false">
      <c r="A16" s="4" t="s">
        <v>2420</v>
      </c>
      <c r="B16" s="4" t="n">
        <f aca="false">COUNTIF('All Cafes (Premium+Normal)'!$H$2:$H$281,A16)</f>
        <v>2</v>
      </c>
      <c r="C16" s="4" t="n">
        <f aca="false">COUNTIFS('All Cafes (Premium+Normal)'!$H$2:$H$281,A16,'All Cafes (Premium+Normal)'!$D$2:$D$281,"Premium")</f>
        <v>0</v>
      </c>
      <c r="D16" s="4" t="n">
        <f aca="false">COUNTIFS('All Cafes (Premium+Normal)'!$H$2:$H$281,A16,'All Cafes (Premium+Normal)'!$D$2:$D$281,"Normal")</f>
        <v>2</v>
      </c>
      <c r="E16" s="4" t="n">
        <f aca="false">COUNTIFS('All Cafes (Premium+Normal)'!$H$2:$H$281,A16,'All Cafes (Premium+Normal)'!$B$2:$B$281,"A")</f>
        <v>0</v>
      </c>
      <c r="F16" s="4" t="n">
        <f aca="false">COUNTIF('All Cafes (Premium+Normal)'!$H$2:$H$281,A16)-COUNTIFS('All Cafes (Premium+Normal)'!$H$2:$H$281,A16,'All Cafes (Premium+Normal)'!$C$2:$C$281,"Established")</f>
        <v>0</v>
      </c>
      <c r="G16" s="4" t="n">
        <f aca="false">COUNTIF(Roasters!$E$2:$E$95,A16)</f>
        <v>1</v>
      </c>
    </row>
    <row r="17" customFormat="false" ht="15" hidden="false" customHeight="false" outlineLevel="0" collapsed="false">
      <c r="A17" s="4" t="s">
        <v>473</v>
      </c>
      <c r="B17" s="4" t="n">
        <f aca="false">COUNTIF('All Cafes (Premium+Normal)'!$H$2:$H$281,A17)</f>
        <v>13</v>
      </c>
      <c r="C17" s="4" t="n">
        <f aca="false">COUNTIFS('All Cafes (Premium+Normal)'!$H$2:$H$281,A17,'All Cafes (Premium+Normal)'!$D$2:$D$281,"Premium")</f>
        <v>6</v>
      </c>
      <c r="D17" s="4" t="n">
        <f aca="false">COUNTIFS('All Cafes (Premium+Normal)'!$H$2:$H$281,A17,'All Cafes (Premium+Normal)'!$D$2:$D$281,"Normal")</f>
        <v>7</v>
      </c>
      <c r="E17" s="4" t="n">
        <f aca="false">COUNTIFS('All Cafes (Premium+Normal)'!$H$2:$H$281,A17,'All Cafes (Premium+Normal)'!$B$2:$B$281,"A")</f>
        <v>2</v>
      </c>
      <c r="F17" s="4" t="n">
        <f aca="false">COUNTIF('All Cafes (Premium+Normal)'!$H$2:$H$281,A17)-COUNTIFS('All Cafes (Premium+Normal)'!$H$2:$H$281,A17,'All Cafes (Premium+Normal)'!$C$2:$C$281,"Established")</f>
        <v>2</v>
      </c>
      <c r="G17" s="4" t="n">
        <f aca="false">COUNTIF(Roasters!$E$2:$E$95,A17)</f>
        <v>6</v>
      </c>
    </row>
    <row r="18" customFormat="false" ht="15" hidden="false" customHeight="false" outlineLevel="0" collapsed="false">
      <c r="A18" s="4" t="s">
        <v>2562</v>
      </c>
      <c r="B18" s="4" t="n">
        <f aca="false">COUNTIF('All Cafes (Premium+Normal)'!$H$2:$H$281,A18)</f>
        <v>1</v>
      </c>
      <c r="C18" s="4" t="n">
        <f aca="false">COUNTIFS('All Cafes (Premium+Normal)'!$H$2:$H$281,A18,'All Cafes (Premium+Normal)'!$D$2:$D$281,"Premium")</f>
        <v>1</v>
      </c>
      <c r="D18" s="4" t="n">
        <f aca="false">COUNTIFS('All Cafes (Premium+Normal)'!$H$2:$H$281,A18,'All Cafes (Premium+Normal)'!$D$2:$D$281,"Normal")</f>
        <v>0</v>
      </c>
      <c r="E18" s="4" t="n">
        <f aca="false">COUNTIFS('All Cafes (Premium+Normal)'!$H$2:$H$281,A18,'All Cafes (Premium+Normal)'!$B$2:$B$281,"A")</f>
        <v>0</v>
      </c>
      <c r="F18" s="4" t="n">
        <f aca="false">COUNTIF('All Cafes (Premium+Normal)'!$H$2:$H$281,A18)-COUNTIFS('All Cafes (Premium+Normal)'!$H$2:$H$281,A18,'All Cafes (Premium+Normal)'!$C$2:$C$281,"Established")</f>
        <v>0</v>
      </c>
      <c r="G18" s="4" t="n">
        <f aca="false">COUNTIF(Roasters!$E$2:$E$95,A18)</f>
        <v>3</v>
      </c>
    </row>
    <row r="19" customFormat="false" ht="15" hidden="false" customHeight="false" outlineLevel="0" collapsed="false">
      <c r="A19" s="4" t="s">
        <v>2577</v>
      </c>
      <c r="B19" s="4" t="n">
        <f aca="false">COUNTIF('All Cafes (Premium+Normal)'!$H$2:$H$281,A19)</f>
        <v>2</v>
      </c>
      <c r="C19" s="4" t="n">
        <f aca="false">COUNTIFS('All Cafes (Premium+Normal)'!$H$2:$H$281,A19,'All Cafes (Premium+Normal)'!$D$2:$D$281,"Premium")</f>
        <v>0</v>
      </c>
      <c r="D19" s="4" t="n">
        <f aca="false">COUNTIFS('All Cafes (Premium+Normal)'!$H$2:$H$281,A19,'All Cafes (Premium+Normal)'!$D$2:$D$281,"Normal")</f>
        <v>2</v>
      </c>
      <c r="E19" s="4" t="n">
        <f aca="false">COUNTIFS('All Cafes (Premium+Normal)'!$H$2:$H$281,A19,'All Cafes (Premium+Normal)'!$B$2:$B$281,"A")</f>
        <v>0</v>
      </c>
      <c r="F19" s="4" t="n">
        <f aca="false">COUNTIF('All Cafes (Premium+Normal)'!$H$2:$H$281,A19)-COUNTIFS('All Cafes (Premium+Normal)'!$H$2:$H$281,A19,'All Cafes (Premium+Normal)'!$C$2:$C$281,"Established")</f>
        <v>0</v>
      </c>
      <c r="G19" s="4" t="n">
        <f aca="false">COUNTIF(Roasters!$E$2:$E$95,A19)</f>
        <v>0</v>
      </c>
    </row>
    <row r="20" customFormat="false" ht="15" hidden="false" customHeight="false" outlineLevel="0" collapsed="false">
      <c r="A20" s="4" t="s">
        <v>600</v>
      </c>
      <c r="B20" s="4" t="n">
        <f aca="false">COUNTIF('All Cafes (Premium+Normal)'!$H$2:$H$281,A20)</f>
        <v>1</v>
      </c>
      <c r="C20" s="4" t="n">
        <f aca="false">COUNTIFS('All Cafes (Premium+Normal)'!$H$2:$H$281,A20,'All Cafes (Premium+Normal)'!$D$2:$D$281,"Premium")</f>
        <v>0</v>
      </c>
      <c r="D20" s="4" t="n">
        <f aca="false">COUNTIFS('All Cafes (Premium+Normal)'!$H$2:$H$281,A20,'All Cafes (Premium+Normal)'!$D$2:$D$281,"Normal")</f>
        <v>1</v>
      </c>
      <c r="E20" s="4" t="n">
        <f aca="false">COUNTIFS('All Cafes (Premium+Normal)'!$H$2:$H$281,A20,'All Cafes (Premium+Normal)'!$B$2:$B$281,"A")</f>
        <v>1</v>
      </c>
      <c r="F20" s="4" t="n">
        <f aca="false">COUNTIF('All Cafes (Premium+Normal)'!$H$2:$H$281,A20)-COUNTIFS('All Cafes (Premium+Normal)'!$H$2:$H$281,A20,'All Cafes (Premium+Normal)'!$C$2:$C$281,"Established")</f>
        <v>1</v>
      </c>
      <c r="G20" s="4" t="n">
        <f aca="false">COUNTIF(Roasters!$E$2:$E$95,A20)</f>
        <v>0</v>
      </c>
    </row>
    <row r="21" customFormat="false" ht="15" hidden="false" customHeight="false" outlineLevel="0" collapsed="false">
      <c r="A21" s="4" t="s">
        <v>947</v>
      </c>
      <c r="B21" s="4" t="n">
        <f aca="false">COUNTIF('All Cafes (Premium+Normal)'!$H$2:$H$281,A21)</f>
        <v>4</v>
      </c>
      <c r="C21" s="4" t="n">
        <f aca="false">COUNTIFS('All Cafes (Premium+Normal)'!$H$2:$H$281,A21,'All Cafes (Premium+Normal)'!$D$2:$D$281,"Premium")</f>
        <v>1</v>
      </c>
      <c r="D21" s="4" t="n">
        <f aca="false">COUNTIFS('All Cafes (Premium+Normal)'!$H$2:$H$281,A21,'All Cafes (Premium+Normal)'!$D$2:$D$281,"Normal")</f>
        <v>3</v>
      </c>
      <c r="E21" s="4" t="n">
        <f aca="false">COUNTIFS('All Cafes (Premium+Normal)'!$H$2:$H$281,A21,'All Cafes (Premium+Normal)'!$B$2:$B$281,"A")</f>
        <v>0</v>
      </c>
      <c r="F21" s="4" t="n">
        <f aca="false">COUNTIF('All Cafes (Premium+Normal)'!$H$2:$H$281,A21)-COUNTIFS('All Cafes (Premium+Normal)'!$H$2:$H$281,A21,'All Cafes (Premium+Normal)'!$C$2:$C$281,"Established")</f>
        <v>1</v>
      </c>
      <c r="G21" s="4" t="n">
        <f aca="false">COUNTIF(Roasters!$E$2:$E$95,A21)</f>
        <v>0</v>
      </c>
    </row>
    <row r="22" customFormat="false" ht="15" hidden="false" customHeight="false" outlineLevel="0" collapsed="false">
      <c r="A22" s="4" t="s">
        <v>2626</v>
      </c>
      <c r="B22" s="4" t="n">
        <f aca="false">COUNTIF('All Cafes (Premium+Normal)'!$H$2:$H$281,A22)</f>
        <v>2</v>
      </c>
      <c r="C22" s="4" t="n">
        <f aca="false">COUNTIFS('All Cafes (Premium+Normal)'!$H$2:$H$281,A22,'All Cafes (Premium+Normal)'!$D$2:$D$281,"Premium")</f>
        <v>0</v>
      </c>
      <c r="D22" s="4" t="n">
        <f aca="false">COUNTIFS('All Cafes (Premium+Normal)'!$H$2:$H$281,A22,'All Cafes (Premium+Normal)'!$D$2:$D$281,"Normal")</f>
        <v>2</v>
      </c>
      <c r="E22" s="4" t="n">
        <f aca="false">COUNTIFS('All Cafes (Premium+Normal)'!$H$2:$H$281,A22,'All Cafes (Premium+Normal)'!$B$2:$B$281,"A")</f>
        <v>0</v>
      </c>
      <c r="F22" s="4" t="n">
        <f aca="false">COUNTIF('All Cafes (Premium+Normal)'!$H$2:$H$281,A22)-COUNTIFS('All Cafes (Premium+Normal)'!$H$2:$H$281,A22,'All Cafes (Premium+Normal)'!$C$2:$C$281,"Established")</f>
        <v>0</v>
      </c>
      <c r="G22" s="4" t="n">
        <f aca="false">COUNTIF(Roasters!$E$2:$E$95,A22)</f>
        <v>4</v>
      </c>
    </row>
    <row r="23" customFormat="false" ht="15" hidden="false" customHeight="false" outlineLevel="0" collapsed="false">
      <c r="A23" s="4" t="s">
        <v>2650</v>
      </c>
      <c r="B23" s="4" t="n">
        <f aca="false">COUNTIF('All Cafes (Premium+Normal)'!$H$2:$H$281,A23)</f>
        <v>3</v>
      </c>
      <c r="C23" s="4" t="n">
        <f aca="false">COUNTIFS('All Cafes (Premium+Normal)'!$H$2:$H$281,A23,'All Cafes (Premium+Normal)'!$D$2:$D$281,"Premium")</f>
        <v>2</v>
      </c>
      <c r="D23" s="4" t="n">
        <f aca="false">COUNTIFS('All Cafes (Premium+Normal)'!$H$2:$H$281,A23,'All Cafes (Premium+Normal)'!$D$2:$D$281,"Normal")</f>
        <v>1</v>
      </c>
      <c r="E23" s="4" t="n">
        <f aca="false">COUNTIFS('All Cafes (Premium+Normal)'!$H$2:$H$281,A23,'All Cafes (Premium+Normal)'!$B$2:$B$281,"A")</f>
        <v>0</v>
      </c>
      <c r="F23" s="4" t="n">
        <f aca="false">COUNTIF('All Cafes (Premium+Normal)'!$H$2:$H$281,A23)-COUNTIFS('All Cafes (Premium+Normal)'!$H$2:$H$281,A23,'All Cafes (Premium+Normal)'!$C$2:$C$281,"Established")</f>
        <v>0</v>
      </c>
      <c r="G23" s="4" t="n">
        <f aca="false">COUNTIF(Roasters!$E$2:$E$95,A23)</f>
        <v>1</v>
      </c>
    </row>
    <row r="24" customFormat="false" ht="15" hidden="false" customHeight="false" outlineLevel="0" collapsed="false">
      <c r="A24" s="4" t="s">
        <v>2675</v>
      </c>
      <c r="B24" s="4" t="n">
        <f aca="false">COUNTIF('All Cafes (Premium+Normal)'!$H$2:$H$281,A24)</f>
        <v>1</v>
      </c>
      <c r="C24" s="4" t="n">
        <f aca="false">COUNTIFS('All Cafes (Premium+Normal)'!$H$2:$H$281,A24,'All Cafes (Premium+Normal)'!$D$2:$D$281,"Premium")</f>
        <v>0</v>
      </c>
      <c r="D24" s="4" t="n">
        <f aca="false">COUNTIFS('All Cafes (Premium+Normal)'!$H$2:$H$281,A24,'All Cafes (Premium+Normal)'!$D$2:$D$281,"Normal")</f>
        <v>1</v>
      </c>
      <c r="E24" s="4" t="n">
        <f aca="false">COUNTIFS('All Cafes (Premium+Normal)'!$H$2:$H$281,A24,'All Cafes (Premium+Normal)'!$B$2:$B$281,"A")</f>
        <v>0</v>
      </c>
      <c r="F24" s="4" t="n">
        <f aca="false">COUNTIF('All Cafes (Premium+Normal)'!$H$2:$H$281,A24)-COUNTIFS('All Cafes (Premium+Normal)'!$H$2:$H$281,A24,'All Cafes (Premium+Normal)'!$C$2:$C$281,"Established")</f>
        <v>0</v>
      </c>
      <c r="G24" s="4" t="n">
        <f aca="false">COUNTIF(Roasters!$E$2:$E$95,A24)</f>
        <v>3</v>
      </c>
    </row>
    <row r="25" customFormat="false" ht="15" hidden="false" customHeight="false" outlineLevel="0" collapsed="false">
      <c r="A25" s="4" t="s">
        <v>2685</v>
      </c>
      <c r="B25" s="4" t="n">
        <f aca="false">COUNTIF('All Cafes (Premium+Normal)'!$H$2:$H$281,A25)</f>
        <v>2</v>
      </c>
      <c r="C25" s="4" t="n">
        <f aca="false">COUNTIFS('All Cafes (Premium+Normal)'!$H$2:$H$281,A25,'All Cafes (Premium+Normal)'!$D$2:$D$281,"Premium")</f>
        <v>1</v>
      </c>
      <c r="D25" s="4" t="n">
        <f aca="false">COUNTIFS('All Cafes (Premium+Normal)'!$H$2:$H$281,A25,'All Cafes (Premium+Normal)'!$D$2:$D$281,"Normal")</f>
        <v>1</v>
      </c>
      <c r="E25" s="4" t="n">
        <f aca="false">COUNTIFS('All Cafes (Premium+Normal)'!$H$2:$H$281,A25,'All Cafes (Premium+Normal)'!$B$2:$B$281,"A")</f>
        <v>0</v>
      </c>
      <c r="F25" s="4" t="n">
        <f aca="false">COUNTIF('All Cafes (Premium+Normal)'!$H$2:$H$281,A25)-COUNTIFS('All Cafes (Premium+Normal)'!$H$2:$H$281,A25,'All Cafes (Premium+Normal)'!$C$2:$C$281,"Established")</f>
        <v>0</v>
      </c>
      <c r="G25" s="4" t="n">
        <f aca="false">COUNTIF(Roasters!$E$2:$E$95,A25)</f>
        <v>1</v>
      </c>
    </row>
    <row r="26" customFormat="false" ht="15" hidden="false" customHeight="false" outlineLevel="0" collapsed="false">
      <c r="A26" s="4" t="s">
        <v>2702</v>
      </c>
      <c r="B26" s="4" t="n">
        <f aca="false">COUNTIF('All Cafes (Premium+Normal)'!$H$2:$H$281,A26)</f>
        <v>1</v>
      </c>
      <c r="C26" s="4" t="n">
        <f aca="false">COUNTIFS('All Cafes (Premium+Normal)'!$H$2:$H$281,A26,'All Cafes (Premium+Normal)'!$D$2:$D$281,"Premium")</f>
        <v>0</v>
      </c>
      <c r="D26" s="4" t="n">
        <f aca="false">COUNTIFS('All Cafes (Premium+Normal)'!$H$2:$H$281,A26,'All Cafes (Premium+Normal)'!$D$2:$D$281,"Normal")</f>
        <v>1</v>
      </c>
      <c r="E26" s="4" t="n">
        <f aca="false">COUNTIFS('All Cafes (Premium+Normal)'!$H$2:$H$281,A26,'All Cafes (Premium+Normal)'!$B$2:$B$281,"A")</f>
        <v>0</v>
      </c>
      <c r="F26" s="4" t="n">
        <f aca="false">COUNTIF('All Cafes (Premium+Normal)'!$H$2:$H$281,A26)-COUNTIFS('All Cafes (Premium+Normal)'!$H$2:$H$281,A26,'All Cafes (Premium+Normal)'!$C$2:$C$281,"Established")</f>
        <v>0</v>
      </c>
      <c r="G26" s="4" t="n">
        <f aca="false">COUNTIF(Roasters!$E$2:$E$95,A26)</f>
        <v>0</v>
      </c>
    </row>
    <row r="27" customFormat="false" ht="15" hidden="false" customHeight="false" outlineLevel="0" collapsed="false">
      <c r="A27" s="4" t="s">
        <v>2714</v>
      </c>
      <c r="B27" s="4" t="n">
        <f aca="false">COUNTIF('All Cafes (Premium+Normal)'!$H$2:$H$281,A27)</f>
        <v>1</v>
      </c>
      <c r="C27" s="4" t="n">
        <f aca="false">COUNTIFS('All Cafes (Premium+Normal)'!$H$2:$H$281,A27,'All Cafes (Premium+Normal)'!$D$2:$D$281,"Premium")</f>
        <v>0</v>
      </c>
      <c r="D27" s="4" t="n">
        <f aca="false">COUNTIFS('All Cafes (Premium+Normal)'!$H$2:$H$281,A27,'All Cafes (Premium+Normal)'!$D$2:$D$281,"Normal")</f>
        <v>1</v>
      </c>
      <c r="E27" s="4" t="n">
        <f aca="false">COUNTIFS('All Cafes (Premium+Normal)'!$H$2:$H$281,A27,'All Cafes (Premium+Normal)'!$B$2:$B$281,"A")</f>
        <v>0</v>
      </c>
      <c r="F27" s="4" t="n">
        <f aca="false">COUNTIF('All Cafes (Premium+Normal)'!$H$2:$H$281,A27)-COUNTIFS('All Cafes (Premium+Normal)'!$H$2:$H$281,A27,'All Cafes (Premium+Normal)'!$C$2:$C$281,"Established")</f>
        <v>0</v>
      </c>
      <c r="G27" s="4" t="n">
        <f aca="false">COUNTIF(Roasters!$E$2:$E$95,A27)</f>
        <v>0</v>
      </c>
    </row>
    <row r="28" customFormat="false" ht="15" hidden="false" customHeight="false" outlineLevel="0" collapsed="false">
      <c r="A28" s="4" t="s">
        <v>143</v>
      </c>
      <c r="B28" s="4" t="n">
        <f aca="false">COUNTIF('All Cafes (Premium+Normal)'!$H$2:$H$281,A28)</f>
        <v>1</v>
      </c>
      <c r="C28" s="4" t="n">
        <f aca="false">COUNTIFS('All Cafes (Premium+Normal)'!$H$2:$H$281,A28,'All Cafes (Premium+Normal)'!$D$2:$D$281,"Premium")</f>
        <v>1</v>
      </c>
      <c r="D28" s="4" t="n">
        <f aca="false">COUNTIFS('All Cafes (Premium+Normal)'!$H$2:$H$281,A28,'All Cafes (Premium+Normal)'!$D$2:$D$281,"Normal")</f>
        <v>0</v>
      </c>
      <c r="E28" s="4" t="n">
        <f aca="false">COUNTIFS('All Cafes (Premium+Normal)'!$H$2:$H$281,A28,'All Cafes (Premium+Normal)'!$B$2:$B$281,"A")</f>
        <v>0</v>
      </c>
      <c r="F28" s="4" t="n">
        <f aca="false">COUNTIF('All Cafes (Premium+Normal)'!$H$2:$H$281,A28)-COUNTIFS('All Cafes (Premium+Normal)'!$H$2:$H$281,A28,'All Cafes (Premium+Normal)'!$C$2:$C$281,"Established")</f>
        <v>0</v>
      </c>
      <c r="G28" s="4" t="n">
        <f aca="false">COUNTIF(Roasters!$E$2:$E$95,A28)</f>
        <v>3</v>
      </c>
    </row>
    <row r="29" customFormat="false" ht="15" hidden="false" customHeight="false" outlineLevel="0" collapsed="false">
      <c r="A29" s="4" t="s">
        <v>3232</v>
      </c>
      <c r="B29" s="4" t="n">
        <f aca="false">COUNTIF('All Cafes (Premium+Normal)'!$H$2:$H$281,A29)</f>
        <v>0</v>
      </c>
      <c r="C29" s="4" t="n">
        <f aca="false">COUNTIFS('All Cafes (Premium+Normal)'!$H$2:$H$281,A29,'All Cafes (Premium+Normal)'!$D$2:$D$281,"Premium")</f>
        <v>0</v>
      </c>
      <c r="D29" s="4" t="n">
        <f aca="false">COUNTIFS('All Cafes (Premium+Normal)'!$H$2:$H$281,A29,'All Cafes (Premium+Normal)'!$D$2:$D$281,"Normal")</f>
        <v>0</v>
      </c>
      <c r="E29" s="4" t="n">
        <f aca="false">COUNTIFS('All Cafes (Premium+Normal)'!$H$2:$H$281,A29,'All Cafes (Premium+Normal)'!$B$2:$B$281,"A")</f>
        <v>0</v>
      </c>
      <c r="F29" s="4" t="n">
        <f aca="false">COUNTIF('All Cafes (Premium+Normal)'!$H$2:$H$281,A29)-COUNTIFS('All Cafes (Premium+Normal)'!$H$2:$H$281,A29,'All Cafes (Premium+Normal)'!$C$2:$C$281,"Established")</f>
        <v>0</v>
      </c>
      <c r="G29" s="4" t="n">
        <f aca="false">COUNTIF(Roasters!$E$2:$E$95,A29)</f>
        <v>1</v>
      </c>
    </row>
    <row r="30" customFormat="false" ht="15" hidden="false" customHeight="false" outlineLevel="0" collapsed="false">
      <c r="A30" s="4" t="s">
        <v>3225</v>
      </c>
      <c r="B30" s="4" t="n">
        <f aca="false">COUNTIF('All Cafes (Premium+Normal)'!$H$2:$H$281,A30)</f>
        <v>0</v>
      </c>
      <c r="C30" s="4" t="n">
        <f aca="false">COUNTIFS('All Cafes (Premium+Normal)'!$H$2:$H$281,A30,'All Cafes (Premium+Normal)'!$D$2:$D$281,"Premium")</f>
        <v>0</v>
      </c>
      <c r="D30" s="4" t="n">
        <f aca="false">COUNTIFS('All Cafes (Premium+Normal)'!$H$2:$H$281,A30,'All Cafes (Premium+Normal)'!$D$2:$D$281,"Normal")</f>
        <v>0</v>
      </c>
      <c r="E30" s="4" t="n">
        <f aca="false">COUNTIFS('All Cafes (Premium+Normal)'!$H$2:$H$281,A30,'All Cafes (Premium+Normal)'!$B$2:$B$281,"A")</f>
        <v>0</v>
      </c>
      <c r="F30" s="4" t="n">
        <f aca="false">COUNTIF('All Cafes (Premium+Normal)'!$H$2:$H$281,A30)-COUNTIFS('All Cafes (Premium+Normal)'!$H$2:$H$281,A30,'All Cafes (Premium+Normal)'!$C$2:$C$281,"Established")</f>
        <v>0</v>
      </c>
      <c r="G30" s="4" t="n">
        <f aca="false">COUNTIF(Roasters!$E$2:$E$95,A30)</f>
        <v>1</v>
      </c>
    </row>
    <row r="31" customFormat="false" ht="15" hidden="false" customHeight="false" outlineLevel="0" collapsed="false">
      <c r="A31" s="4" t="s">
        <v>3353</v>
      </c>
      <c r="B31" s="4" t="n">
        <f aca="false">COUNTIF('All Cafes (Premium+Normal)'!$H$2:$H$281,A31)</f>
        <v>0</v>
      </c>
      <c r="C31" s="4" t="n">
        <f aca="false">COUNTIFS('All Cafes (Premium+Normal)'!$H$2:$H$281,A31,'All Cafes (Premium+Normal)'!$D$2:$D$281,"Premium")</f>
        <v>0</v>
      </c>
      <c r="D31" s="4" t="n">
        <f aca="false">COUNTIFS('All Cafes (Premium+Normal)'!$H$2:$H$281,A31,'All Cafes (Premium+Normal)'!$D$2:$D$281,"Normal")</f>
        <v>0</v>
      </c>
      <c r="E31" s="4" t="n">
        <f aca="false">COUNTIFS('All Cafes (Premium+Normal)'!$H$2:$H$281,A31,'All Cafes (Premium+Normal)'!$B$2:$B$281,"A")</f>
        <v>0</v>
      </c>
      <c r="F31" s="4" t="n">
        <f aca="false">COUNTIF('All Cafes (Premium+Normal)'!$H$2:$H$281,A31)-COUNTIFS('All Cafes (Premium+Normal)'!$H$2:$H$281,A31,'All Cafes (Premium+Normal)'!$C$2:$C$281,"Established")</f>
        <v>0</v>
      </c>
      <c r="G31" s="4" t="n">
        <f aca="false">COUNTIF(Roasters!$E$2:$E$95,A31)</f>
        <v>1</v>
      </c>
    </row>
    <row r="32" customFormat="false" ht="15" hidden="false" customHeight="false" outlineLevel="0" collapsed="false">
      <c r="A32" s="5" t="s">
        <v>3578</v>
      </c>
      <c r="B32" s="5" t="n">
        <f aca="false">SUM(B2:B31)</f>
        <v>280</v>
      </c>
      <c r="C32" s="5" t="n">
        <f aca="false">SUM(C2:C31)</f>
        <v>109</v>
      </c>
      <c r="D32" s="5" t="n">
        <f aca="false">SUM(D2:D31)</f>
        <v>171</v>
      </c>
      <c r="E32" s="5" t="n">
        <f aca="false">SUM(E2:E31)</f>
        <v>60</v>
      </c>
      <c r="F32" s="5" t="n">
        <f aca="false">SUM(F2:F31)</f>
        <v>90</v>
      </c>
      <c r="G32" s="5" t="n">
        <f aca="false">SUM(G2:G31)</f>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4" min="3" style="0" width="12"/>
    <col collapsed="false" customWidth="true" hidden="false" outlineLevel="0" max="5" min="5" style="0" width="10"/>
    <col collapsed="false" customWidth="true" hidden="false" outlineLevel="0" max="6" min="6" style="0" width="70"/>
    <col collapsed="false" customWidth="true" hidden="false" outlineLevel="0" max="7" min="7" style="0" width="40"/>
  </cols>
  <sheetData>
    <row r="1" customFormat="false" ht="15" hidden="false" customHeight="false" outlineLevel="0" collapsed="false">
      <c r="A1" s="9" t="s">
        <v>49</v>
      </c>
      <c r="B1" s="9" t="s">
        <v>3579</v>
      </c>
      <c r="C1" s="9" t="s">
        <v>3580</v>
      </c>
      <c r="D1" s="9" t="s">
        <v>3581</v>
      </c>
      <c r="E1" s="9" t="s">
        <v>78</v>
      </c>
      <c r="F1" s="9" t="s">
        <v>3582</v>
      </c>
      <c r="G1" s="9" t="s">
        <v>3583</v>
      </c>
    </row>
    <row r="2" customFormat="false" ht="23.85" hidden="false" customHeight="false" outlineLevel="0" collapsed="false">
      <c r="A2" s="2" t="s">
        <v>82</v>
      </c>
      <c r="B2" s="2" t="s">
        <v>119</v>
      </c>
      <c r="C2" s="2" t="s">
        <v>3584</v>
      </c>
      <c r="D2" s="2" t="n">
        <f aca="false">COUNTIFS('All Cafes (Premium+Normal)'!$I$2:$I$281,"Mumbai")</f>
        <v>50</v>
      </c>
      <c r="E2" s="2" t="n">
        <f aca="false">COUNTIFS('All Cafes (Premium+Normal)'!$I$2:$I$281,"Mumbai",'All Cafes (Premium+Normal)'!$D$2:$D$281,"Premium")</f>
        <v>20</v>
      </c>
      <c r="F2" s="2" t="s">
        <v>3585</v>
      </c>
      <c r="G2" s="2" t="s">
        <v>3586</v>
      </c>
    </row>
    <row r="3" customFormat="false" ht="23.85" hidden="false" customHeight="false" outlineLevel="0" collapsed="false">
      <c r="A3" s="2" t="s">
        <v>82</v>
      </c>
      <c r="B3" s="2" t="s">
        <v>83</v>
      </c>
      <c r="C3" s="2" t="s">
        <v>3587</v>
      </c>
      <c r="D3" s="2" t="n">
        <f aca="false">COUNTIFS('All Cafes (Premium+Normal)'!$I$2:$I$281,"*Pune*")</f>
        <v>19</v>
      </c>
      <c r="E3" s="2" t="n">
        <f aca="false">COUNTIFS('All Cafes (Premium+Normal)'!$I$2:$I$281,"*Pune*",'All Cafes (Premium+Normal)'!$D$2:$D$281,"Premium")</f>
        <v>8</v>
      </c>
      <c r="F3" s="2" t="s">
        <v>3588</v>
      </c>
      <c r="G3" s="2" t="s">
        <v>3589</v>
      </c>
    </row>
    <row r="4" customFormat="false" ht="15" hidden="false" customHeight="false" outlineLevel="0" collapsed="false">
      <c r="A4" s="2" t="s">
        <v>82</v>
      </c>
      <c r="B4" s="2" t="s">
        <v>3590</v>
      </c>
      <c r="C4" s="2" t="s">
        <v>3587</v>
      </c>
      <c r="D4" s="2" t="n">
        <f aca="false">COUNTIFS('All Cafes (Premium+Normal)'!$I$2:$I$281,"*Thane*")+COUNTIFS('All Cafes (Premium+Normal)'!$I$2:$I$281,"*Navi Mumbai*")</f>
        <v>2</v>
      </c>
      <c r="E4" s="2" t="n">
        <f aca="false">COUNTIFS('All Cafes (Premium+Normal)'!$I$2:$I$281,"*Thane*",'All Cafes (Premium+Normal)'!$D$2:$D$281,"Premium")+COUNTIFS('All Cafes (Premium+Normal)'!$I$2:$I$281,"*Navi Mumbai*",'All Cafes (Premium+Normal)'!$D$2:$D$281,"Premium")</f>
        <v>1</v>
      </c>
      <c r="F4" s="2" t="s">
        <v>3591</v>
      </c>
      <c r="G4" s="2"/>
    </row>
    <row r="5" customFormat="false" ht="15" hidden="false" customHeight="false" outlineLevel="0" collapsed="false">
      <c r="A5" s="2" t="s">
        <v>82</v>
      </c>
      <c r="B5" s="2" t="s">
        <v>866</v>
      </c>
      <c r="C5" s="2" t="s">
        <v>3587</v>
      </c>
      <c r="D5" s="2" t="n">
        <f aca="false">COUNTIFS('All Cafes (Premium+Normal)'!$I$2:$I$281,"*Nagpur*")</f>
        <v>7</v>
      </c>
      <c r="E5" s="2" t="n">
        <f aca="false">COUNTIFS('All Cafes (Premium+Normal)'!$I$2:$I$281,"*Nagpur*",'All Cafes (Premium+Normal)'!$D$2:$D$281,"Premium")</f>
        <v>2</v>
      </c>
      <c r="F5" s="2" t="s">
        <v>3592</v>
      </c>
      <c r="G5" s="2"/>
    </row>
    <row r="6" customFormat="false" ht="15" hidden="false" customHeight="false" outlineLevel="0" collapsed="false">
      <c r="A6" s="2" t="s">
        <v>82</v>
      </c>
      <c r="B6" s="2" t="s">
        <v>1214</v>
      </c>
      <c r="C6" s="2" t="s">
        <v>3587</v>
      </c>
      <c r="D6" s="2" t="n">
        <f aca="false">COUNTIFS('All Cafes (Premium+Normal)'!$I$2:$I$281,"*Nashik*")</f>
        <v>2</v>
      </c>
      <c r="E6" s="2" t="n">
        <f aca="false">COUNTIFS('All Cafes (Premium+Normal)'!$I$2:$I$281,"*Nashik*",'All Cafes (Premium+Normal)'!$D$2:$D$281,"Premium")</f>
        <v>1</v>
      </c>
      <c r="F6" s="2" t="s">
        <v>3593</v>
      </c>
      <c r="G6" s="2"/>
    </row>
    <row r="7" customFormat="false" ht="15" hidden="false" customHeight="false" outlineLevel="0" collapsed="false">
      <c r="A7" s="2" t="s">
        <v>82</v>
      </c>
      <c r="B7" s="2" t="s">
        <v>3594</v>
      </c>
      <c r="C7" s="2" t="s">
        <v>3595</v>
      </c>
      <c r="D7" s="2" t="n">
        <f aca="false">COUNTIFS('All Cafes (Premium+Normal)'!$I$2:$I$281,"*Sambhajinagar*")+COUNTIFS('All Cafes (Premium+Normal)'!$I$2:$I$281,"*Kolhapur*")+COUNTIFS('All Cafes (Premium+Normal)'!$I$2:$I$281,"*Solapur*")</f>
        <v>6</v>
      </c>
      <c r="E7" s="2" t="n">
        <f aca="false">COUNTIFS('All Cafes (Premium+Normal)'!$I$2:$I$281,"*Sambhajinagar*",'All Cafes (Premium+Normal)'!$D$2:$D$281,"Premium")+COUNTIFS('All Cafes (Premium+Normal)'!$I$2:$I$281,"*Kolhapur*",'All Cafes (Premium+Normal)'!$D$2:$D$281,"Premium")+COUNTIFS('All Cafes (Premium+Normal)'!$I$2:$I$281,"*Solapur*",'All Cafes (Premium+Normal)'!$D$2:$D$281,"Premium")</f>
        <v>0</v>
      </c>
      <c r="F7" s="2" t="s">
        <v>3596</v>
      </c>
      <c r="G7" s="2" t="s">
        <v>3597</v>
      </c>
    </row>
    <row r="8" customFormat="false" ht="23.85" hidden="false" customHeight="false" outlineLevel="0" collapsed="false">
      <c r="A8" s="2" t="s">
        <v>82</v>
      </c>
      <c r="B8" s="2" t="s">
        <v>3598</v>
      </c>
      <c r="C8" s="2" t="s">
        <v>3595</v>
      </c>
      <c r="D8" s="2" t="n">
        <f aca="false">COUNTIFS('All Cafes (Premium+Normal)'!$I$2:$I$281,"*Lonavala*")+COUNTIFS('All Cafes (Premium+Normal)'!$I$2:$I$281,"*Alibaug*")+COUNTIFS('All Cafes (Premium+Normal)'!$I$2:$I$281,"*Karjat*")+COUNTIFS('All Cafes (Premium+Normal)'!$I$2:$I$281,"*Mahabaleshwar*")</f>
        <v>0</v>
      </c>
      <c r="E8" s="2" t="n">
        <f aca="false">COUNTIFS('All Cafes (Premium+Normal)'!$I$2:$I$281,"*Lonavala*",'All Cafes (Premium+Normal)'!$D$2:$D$281,"Premium")+COUNTIFS('All Cafes (Premium+Normal)'!$I$2:$I$281,"*Alibaug*",'All Cafes (Premium+Normal)'!$D$2:$D$281,"Premium")+COUNTIFS('All Cafes (Premium+Normal)'!$I$2:$I$281,"*Karjat*",'All Cafes (Premium+Normal)'!$D$2:$D$281,"Premium")+COUNTIFS('All Cafes (Premium+Normal)'!$I$2:$I$281,"*Mahabaleshwar*",'All Cafes (Premium+Normal)'!$D$2:$D$281,"Premium")</f>
        <v>0</v>
      </c>
      <c r="F8" s="2" t="s">
        <v>3599</v>
      </c>
      <c r="G8" s="2" t="s">
        <v>3600</v>
      </c>
    </row>
    <row r="9" customFormat="false" ht="15" hidden="false" customHeight="false" outlineLevel="0" collapsed="false">
      <c r="A9" s="2" t="s">
        <v>714</v>
      </c>
      <c r="B9" s="2" t="s">
        <v>888</v>
      </c>
      <c r="C9" s="2" t="s">
        <v>3587</v>
      </c>
      <c r="D9" s="2" t="n">
        <f aca="false">COUNTIFS('All Cafes (Premium+Normal)'!$I$2:$I$281,"*Ahmedabad*")</f>
        <v>11</v>
      </c>
      <c r="E9" s="2" t="n">
        <f aca="false">COUNTIFS('All Cafes (Premium+Normal)'!$I$2:$I$281,"*Ahmedabad*",'All Cafes (Premium+Normal)'!$D$2:$D$281,"Premium")</f>
        <v>5</v>
      </c>
      <c r="F9" s="2" t="s">
        <v>3601</v>
      </c>
      <c r="G9" s="2"/>
    </row>
    <row r="10" customFormat="false" ht="15" hidden="false" customHeight="false" outlineLevel="0" collapsed="false">
      <c r="A10" s="2" t="s">
        <v>714</v>
      </c>
      <c r="B10" s="2" t="s">
        <v>1487</v>
      </c>
      <c r="C10" s="2" t="s">
        <v>3587</v>
      </c>
      <c r="D10" s="2" t="n">
        <f aca="false">COUNTIFS('All Cafes (Premium+Normal)'!$I$2:$I$281,"*Surat*")</f>
        <v>15</v>
      </c>
      <c r="E10" s="2" t="n">
        <f aca="false">COUNTIFS('All Cafes (Premium+Normal)'!$I$2:$I$281,"*Surat*",'All Cafes (Premium+Normal)'!$D$2:$D$281,"Premium")</f>
        <v>5</v>
      </c>
      <c r="F10" s="2" t="s">
        <v>3602</v>
      </c>
      <c r="G10" s="2"/>
    </row>
    <row r="11" customFormat="false" ht="15" hidden="false" customHeight="false" outlineLevel="0" collapsed="false">
      <c r="A11" s="2" t="s">
        <v>714</v>
      </c>
      <c r="B11" s="2" t="s">
        <v>1578</v>
      </c>
      <c r="C11" s="2" t="s">
        <v>3587</v>
      </c>
      <c r="D11" s="2" t="n">
        <f aca="false">COUNTIFS('All Cafes (Premium+Normal)'!$I$2:$I$281,"*Vadodara*")</f>
        <v>5</v>
      </c>
      <c r="E11" s="2" t="n">
        <f aca="false">COUNTIFS('All Cafes (Premium+Normal)'!$I$2:$I$281,"*Vadodara*",'All Cafes (Premium+Normal)'!$D$2:$D$281,"Premium")</f>
        <v>2</v>
      </c>
      <c r="F11" s="2" t="s">
        <v>3603</v>
      </c>
      <c r="G11" s="2"/>
    </row>
    <row r="12" customFormat="false" ht="15" hidden="false" customHeight="false" outlineLevel="0" collapsed="false">
      <c r="A12" s="2" t="s">
        <v>714</v>
      </c>
      <c r="B12" s="2" t="s">
        <v>1471</v>
      </c>
      <c r="C12" s="2" t="s">
        <v>3595</v>
      </c>
      <c r="D12" s="2" t="n">
        <f aca="false">COUNTIFS('All Cafes (Premium+Normal)'!$I$2:$I$281,"*Rajkot*")</f>
        <v>4</v>
      </c>
      <c r="E12" s="2" t="n">
        <f aca="false">COUNTIFS('All Cafes (Premium+Normal)'!$I$2:$I$281,"*Rajkot*",'All Cafes (Premium+Normal)'!$D$2:$D$281,"Premium")</f>
        <v>0</v>
      </c>
      <c r="F12" s="2" t="s">
        <v>3596</v>
      </c>
      <c r="G12" s="2"/>
    </row>
    <row r="13" customFormat="false" ht="15" hidden="false" customHeight="false" outlineLevel="0" collapsed="false">
      <c r="A13" s="2" t="s">
        <v>714</v>
      </c>
      <c r="B13" s="2" t="s">
        <v>3604</v>
      </c>
      <c r="C13" s="2" t="s">
        <v>3605</v>
      </c>
      <c r="D13" s="2" t="n">
        <f aca="false">COUNTIFS('All Cafes (Premium+Normal)'!$I$2:$I$281,"*Gandhinagar*")+COUNTIFS('All Cafes (Premium+Normal)'!$I$2:$I$281,"*GIFT City*")+COUNTIFS('All Cafes (Premium+Normal)'!$I$2:$I$281,"*Bhavnagar*")</f>
        <v>0</v>
      </c>
      <c r="E13" s="2" t="n">
        <f aca="false">COUNTIFS('All Cafes (Premium+Normal)'!$I$2:$I$281,"*Gandhinagar*",'All Cafes (Premium+Normal)'!$D$2:$D$281,"Premium")+COUNTIFS('All Cafes (Premium+Normal)'!$I$2:$I$281,"*GIFT City*",'All Cafes (Premium+Normal)'!$D$2:$D$281,"Premium")+COUNTIFS('All Cafes (Premium+Normal)'!$I$2:$I$281,"*Bhavnagar*",'All Cafes (Premium+Normal)'!$D$2:$D$281,"Premium")</f>
        <v>0</v>
      </c>
      <c r="F13" s="2" t="s">
        <v>3606</v>
      </c>
      <c r="G13" s="2" t="s">
        <v>3607</v>
      </c>
    </row>
    <row r="14" customFormat="false" ht="15" hidden="false" customHeight="false" outlineLevel="0" collapsed="false">
      <c r="A14" s="2" t="s">
        <v>289</v>
      </c>
      <c r="B14" s="2" t="s">
        <v>3608</v>
      </c>
      <c r="C14" s="2" t="s">
        <v>3587</v>
      </c>
      <c r="D14" s="2" t="n">
        <f aca="false">COUNTIFS('All Cafes (Premium+Normal)'!$I$2:$I$281,"*Assagao*")+COUNTIFS('All Cafes (Premium+Normal)'!$I$2:$I$281,"*Anjuna*")+COUNTIFS('All Cafes (Premium+Normal)'!$I$2:$I$281,"*Panjim*")+COUNTIFS('All Cafes (Premium+Normal)'!$I$2:$I$281,"*Siolim*")+COUNTIFS('All Cafes (Premium+Normal)'!$I$2:$I$281,"*Saligao*")+COUNTIFS('All Cafes (Premium+Normal)'!$I$2:$I$281,"*Porvorim*")+COUNTIFS('All Cafes (Premium+Normal)'!$I$2:$I$281,"*Candolim*")+COUNTIFS('All Cafes (Premium+Normal)'!$I$2:$I$281,"Goa")</f>
        <v>17</v>
      </c>
      <c r="E14" s="2" t="n">
        <f aca="false">COUNTIFS('All Cafes (Premium+Normal)'!$I$2:$I$281,"*Assagao*",'All Cafes (Premium+Normal)'!$D$2:$D$281,"Premium")+COUNTIFS('All Cafes (Premium+Normal)'!$I$2:$I$281,"*Anjuna*",'All Cafes (Premium+Normal)'!$D$2:$D$281,"Premium")+COUNTIFS('All Cafes (Premium+Normal)'!$I$2:$I$281,"*Panjim*",'All Cafes (Premium+Normal)'!$D$2:$D$281,"Premium")+COUNTIFS('All Cafes (Premium+Normal)'!$I$2:$I$281,"*Siolim*",'All Cafes (Premium+Normal)'!$D$2:$D$281,"Premium")+COUNTIFS('All Cafes (Premium+Normal)'!$I$2:$I$281,"*Saligao*",'All Cafes (Premium+Normal)'!$D$2:$D$281,"Premium")+COUNTIFS('All Cafes (Premium+Normal)'!$I$2:$I$281,"*Porvorim*",'All Cafes (Premium+Normal)'!$D$2:$D$281,"Premium")+COUNTIFS('All Cafes (Premium+Normal)'!$I$2:$I$281,"*Candolim*",'All Cafes (Premium+Normal)'!$D$2:$D$281,"Premium")+COUNTIFS('All Cafes (Premium+Normal)'!$I$2:$I$281,"Goa",'All Cafes (Premium+Normal)'!$D$2:$D$281,"Premium")</f>
        <v>7</v>
      </c>
      <c r="F14" s="2" t="s">
        <v>3609</v>
      </c>
      <c r="G14" s="2"/>
    </row>
    <row r="15" customFormat="false" ht="15" hidden="false" customHeight="false" outlineLevel="0" collapsed="false">
      <c r="A15" s="2" t="s">
        <v>289</v>
      </c>
      <c r="B15" s="2" t="s">
        <v>3610</v>
      </c>
      <c r="C15" s="2" t="s">
        <v>3595</v>
      </c>
      <c r="D15" s="2" t="n">
        <f aca="false">COUNTIFS('All Cafes (Premium+Normal)'!$I$2:$I$281,"*Colva*")+COUNTIFS('All Cafes (Premium+Normal)'!$I$2:$I$281,"*Benaulim*")+COUNTIFS('All Cafes (Premium+Normal)'!$I$2:$I$281,"*Palolem*")</f>
        <v>3</v>
      </c>
      <c r="E15" s="2" t="n">
        <f aca="false">COUNTIFS('All Cafes (Premium+Normal)'!$I$2:$I$281,"*Colva*",'All Cafes (Premium+Normal)'!$D$2:$D$281,"Premium")+COUNTIFS('All Cafes (Premium+Normal)'!$I$2:$I$281,"*Benaulim*",'All Cafes (Premium+Normal)'!$D$2:$D$281,"Premium")+COUNTIFS('All Cafes (Premium+Normal)'!$I$2:$I$281,"*Palolem*",'All Cafes (Premium+Normal)'!$D$2:$D$281,"Premium")</f>
        <v>1</v>
      </c>
      <c r="F15" s="2" t="s">
        <v>3611</v>
      </c>
      <c r="G15" s="2"/>
    </row>
    <row r="16" customFormat="false" ht="15" hidden="false" customHeight="false" outlineLevel="0" collapsed="false">
      <c r="A16" s="2" t="s">
        <v>1762</v>
      </c>
      <c r="B16" s="2" t="s">
        <v>1829</v>
      </c>
      <c r="C16" s="2" t="s">
        <v>3587</v>
      </c>
      <c r="D16" s="2" t="n">
        <f aca="false">COUNTIFS('All Cafes (Premium+Normal)'!$I$2:$I$281,"*Indore*")</f>
        <v>6</v>
      </c>
      <c r="E16" s="2" t="n">
        <f aca="false">COUNTIFS('All Cafes (Premium+Normal)'!$I$2:$I$281,"*Indore*",'All Cafes (Premium+Normal)'!$D$2:$D$281,"Premium")</f>
        <v>2</v>
      </c>
      <c r="F16" s="2" t="s">
        <v>3612</v>
      </c>
      <c r="G16" s="2"/>
    </row>
    <row r="17" customFormat="false" ht="15" hidden="false" customHeight="false" outlineLevel="0" collapsed="false">
      <c r="A17" s="2" t="s">
        <v>1762</v>
      </c>
      <c r="B17" s="2" t="s">
        <v>1763</v>
      </c>
      <c r="C17" s="2" t="s">
        <v>3587</v>
      </c>
      <c r="D17" s="2" t="n">
        <f aca="false">COUNTIFS('All Cafes (Premium+Normal)'!$I$2:$I$281,"*Bhopal*")</f>
        <v>7</v>
      </c>
      <c r="E17" s="2" t="n">
        <f aca="false">COUNTIFS('All Cafes (Premium+Normal)'!$I$2:$I$281,"*Bhopal*",'All Cafes (Premium+Normal)'!$D$2:$D$281,"Premium")</f>
        <v>2</v>
      </c>
      <c r="F17" s="2" t="s">
        <v>3602</v>
      </c>
      <c r="G17" s="2"/>
    </row>
    <row r="18" customFormat="false" ht="15" hidden="false" customHeight="false" outlineLevel="0" collapsed="false">
      <c r="A18" s="2" t="s">
        <v>1762</v>
      </c>
      <c r="B18" s="2" t="s">
        <v>3613</v>
      </c>
      <c r="C18" s="2" t="s">
        <v>3595</v>
      </c>
      <c r="D18" s="2" t="n">
        <f aca="false">COUNTIFS('All Cafes (Premium+Normal)'!$I$2:$I$281,"*Jabalpur*")+COUNTIFS('All Cafes (Premium+Normal)'!$I$2:$I$281,"*Gwalior*")</f>
        <v>2</v>
      </c>
      <c r="E18" s="2" t="n">
        <f aca="false">COUNTIFS('All Cafes (Premium+Normal)'!$I$2:$I$281,"*Jabalpur*",'All Cafes (Premium+Normal)'!$D$2:$D$281,"Premium")+COUNTIFS('All Cafes (Premium+Normal)'!$I$2:$I$281,"*Gwalior*",'All Cafes (Premium+Normal)'!$D$2:$D$281,"Premium")</f>
        <v>1</v>
      </c>
      <c r="F18" s="2" t="s">
        <v>3596</v>
      </c>
      <c r="G18" s="2"/>
    </row>
    <row r="19" customFormat="false" ht="15" hidden="false" customHeight="false" outlineLevel="0" collapsed="false">
      <c r="A19" s="2" t="s">
        <v>1762</v>
      </c>
      <c r="B19" s="2" t="s">
        <v>3614</v>
      </c>
      <c r="C19" s="2" t="s">
        <v>3605</v>
      </c>
      <c r="D19" s="2" t="n">
        <f aca="false">COUNTIFS('All Cafes (Premium+Normal)'!$I$2:$I$281,"*Ujjain*")</f>
        <v>0</v>
      </c>
      <c r="E19" s="2" t="n">
        <f aca="false">COUNTIFS('All Cafes (Premium+Normal)'!$I$2:$I$281,"*Ujjain*",'All Cafes (Premium+Normal)'!$D$2:$D$281,"Premium")</f>
        <v>0</v>
      </c>
      <c r="F19" s="2" t="s">
        <v>3615</v>
      </c>
      <c r="G19" s="2" t="s">
        <v>3607</v>
      </c>
    </row>
    <row r="20" customFormat="false" ht="15" hidden="false" customHeight="false" outlineLevel="0" collapsed="false">
      <c r="A20" s="2" t="s">
        <v>307</v>
      </c>
      <c r="B20" s="2" t="s">
        <v>3616</v>
      </c>
      <c r="C20" s="2" t="s">
        <v>3595</v>
      </c>
      <c r="D20" s="2" t="n">
        <f aca="false">COUNTIFS('All Cafes (Premium+Normal)'!$I$2:$I$281,"*Raipur*")+COUNTIFS('All Cafes (Premium+Normal)'!$I$2:$I$281,"*Bhilai*")+COUNTIFS('All Cafes (Premium+Normal)'!$I$2:$I$281,"*Bilaspur*")</f>
        <v>1</v>
      </c>
      <c r="E20" s="2" t="n">
        <f aca="false">COUNTIFS('All Cafes (Premium+Normal)'!$I$2:$I$281,"*Raipur*",'All Cafes (Premium+Normal)'!$D$2:$D$281,"Premium")+COUNTIFS('All Cafes (Premium+Normal)'!$I$2:$I$281,"*Bhilai*",'All Cafes (Premium+Normal)'!$D$2:$D$281,"Premium")+COUNTIFS('All Cafes (Premium+Normal)'!$I$2:$I$281,"*Bilaspur*",'All Cafes (Premium+Normal)'!$D$2:$D$281,"Premium")</f>
        <v>1</v>
      </c>
      <c r="F20" s="2" t="s">
        <v>3596</v>
      </c>
      <c r="G20" s="2" t="s">
        <v>3617</v>
      </c>
    </row>
    <row r="21" customFormat="false" ht="15" hidden="false" customHeight="false" outlineLevel="0" collapsed="false">
      <c r="A21" s="2" t="s">
        <v>318</v>
      </c>
      <c r="B21" s="2" t="s">
        <v>319</v>
      </c>
      <c r="C21" s="2" t="s">
        <v>3584</v>
      </c>
      <c r="D21" s="2" t="n">
        <f aca="false">COUNTIFS('All Cafes (Premium+Normal)'!$I$2:$I$281,"*Jaipur*")</f>
        <v>12</v>
      </c>
      <c r="E21" s="2" t="n">
        <f aca="false">COUNTIFS('All Cafes (Premium+Normal)'!$I$2:$I$281,"*Jaipur*",'All Cafes (Premium+Normal)'!$D$2:$D$281,"Premium")</f>
        <v>6</v>
      </c>
      <c r="F21" s="2" t="s">
        <v>3618</v>
      </c>
      <c r="G21" s="2"/>
    </row>
    <row r="22" customFormat="false" ht="15" hidden="false" customHeight="false" outlineLevel="0" collapsed="false">
      <c r="A22" s="2" t="s">
        <v>318</v>
      </c>
      <c r="B22" s="2" t="s">
        <v>3619</v>
      </c>
      <c r="C22" s="2" t="s">
        <v>3587</v>
      </c>
      <c r="D22" s="2" t="n">
        <f aca="false">COUNTIFS('All Cafes (Premium+Normal)'!$I$2:$I$281,"*Udaipur*")+COUNTIFS('All Cafes (Premium+Normal)'!$I$2:$I$281,"*Jodhpur*")</f>
        <v>4</v>
      </c>
      <c r="E22" s="2" t="n">
        <f aca="false">COUNTIFS('All Cafes (Premium+Normal)'!$I$2:$I$281,"*Udaipur*",'All Cafes (Premium+Normal)'!$D$2:$D$281,"Premium")+COUNTIFS('All Cafes (Premium+Normal)'!$I$2:$I$281,"*Jodhpur*",'All Cafes (Premium+Normal)'!$D$2:$D$281,"Premium")</f>
        <v>3</v>
      </c>
      <c r="F22" s="2" t="s">
        <v>3620</v>
      </c>
      <c r="G22" s="2"/>
    </row>
    <row r="23" customFormat="false" ht="23.85" hidden="false" customHeight="false" outlineLevel="0" collapsed="false">
      <c r="A23" s="2" t="s">
        <v>318</v>
      </c>
      <c r="B23" s="2" t="s">
        <v>3621</v>
      </c>
      <c r="C23" s="2" t="s">
        <v>3605</v>
      </c>
      <c r="D23" s="2" t="n">
        <f aca="false">COUNTIFS('All Cafes (Premium+Normal)'!$I$2:$I$281,"*Kota*")+COUNTIFS('All Cafes (Premium+Normal)'!$I$2:$I$281,"*Ajmer*")+COUNTIFS('All Cafes (Premium+Normal)'!$I$2:$I$281,"*Bikaner*")</f>
        <v>0</v>
      </c>
      <c r="E23" s="2" t="n">
        <f aca="false">COUNTIFS('All Cafes (Premium+Normal)'!$I$2:$I$281,"*Kota*",'All Cafes (Premium+Normal)'!$D$2:$D$281,"Premium")+COUNTIFS('All Cafes (Premium+Normal)'!$I$2:$I$281,"*Ajmer*",'All Cafes (Premium+Normal)'!$D$2:$D$281,"Premium")+COUNTIFS('All Cafes (Premium+Normal)'!$I$2:$I$281,"*Bikaner*",'All Cafes (Premium+Normal)'!$D$2:$D$281,"Premium")</f>
        <v>0</v>
      </c>
      <c r="F23" s="2" t="s">
        <v>3615</v>
      </c>
      <c r="G23" s="2" t="s">
        <v>3622</v>
      </c>
    </row>
    <row r="24" customFormat="false" ht="23.85" hidden="false" customHeight="false" outlineLevel="0" collapsed="false">
      <c r="A24" s="2" t="s">
        <v>102</v>
      </c>
      <c r="B24" s="2" t="s">
        <v>103</v>
      </c>
      <c r="C24" s="2" t="s">
        <v>3584</v>
      </c>
      <c r="D24" s="2" t="n">
        <f aca="false">COUNTIFS('All Cafes (Premium+Normal)'!$I$2:$I$281,"*New Delhi*")+COUNTIFS('All Cafes (Premium+Normal)'!$I$2:$I$281,"Delhi NCR")</f>
        <v>25</v>
      </c>
      <c r="E24" s="2" t="n">
        <f aca="false">COUNTIFS('All Cafes (Premium+Normal)'!$I$2:$I$281,"*New Delhi*",'All Cafes (Premium+Normal)'!$D$2:$D$281,"Premium")+COUNTIFS('All Cafes (Premium+Normal)'!$I$2:$I$281,"Delhi NCR",'All Cafes (Premium+Normal)'!$D$2:$D$281,"Premium")</f>
        <v>10</v>
      </c>
      <c r="F24" s="2" t="s">
        <v>3623</v>
      </c>
      <c r="G24" s="2"/>
    </row>
    <row r="25" customFormat="false" ht="15" hidden="false" customHeight="false" outlineLevel="0" collapsed="false">
      <c r="A25" s="2" t="s">
        <v>428</v>
      </c>
      <c r="B25" s="2" t="s">
        <v>429</v>
      </c>
      <c r="C25" s="2" t="s">
        <v>3584</v>
      </c>
      <c r="D25" s="2" t="n">
        <f aca="false">COUNTIFS('All Cafes (Premium+Normal)'!$I$2:$I$281,"*Gurugram*")</f>
        <v>10</v>
      </c>
      <c r="E25" s="2" t="n">
        <f aca="false">COUNTIFS('All Cafes (Premium+Normal)'!$I$2:$I$281,"*Gurugram*",'All Cafes (Premium+Normal)'!$D$2:$D$281,"Premium")</f>
        <v>4</v>
      </c>
      <c r="F25" s="2" t="s">
        <v>3624</v>
      </c>
      <c r="G25" s="2"/>
    </row>
    <row r="26" customFormat="false" ht="15" hidden="false" customHeight="false" outlineLevel="0" collapsed="false">
      <c r="A26" s="2" t="s">
        <v>459</v>
      </c>
      <c r="B26" s="2" t="s">
        <v>3625</v>
      </c>
      <c r="C26" s="2" t="s">
        <v>3587</v>
      </c>
      <c r="D26" s="2" t="n">
        <f aca="false">COUNTIFS('All Cafes (Premium+Normal)'!$I$2:$I$281,"*Noida*")+COUNTIFS('All Cafes (Premium+Normal)'!$I$2:$I$281,"*Greater Noida*")+COUNTIFS('All Cafes (Premium+Normal)'!$I$2:$I$281,"*Ghaziabad*")</f>
        <v>6</v>
      </c>
      <c r="E26" s="2" t="n">
        <f aca="false">COUNTIFS('All Cafes (Premium+Normal)'!$I$2:$I$281,"*Noida*",'All Cafes (Premium+Normal)'!$D$2:$D$281,"Premium")+COUNTIFS('All Cafes (Premium+Normal)'!$I$2:$I$281,"*Greater Noida*",'All Cafes (Premium+Normal)'!$D$2:$D$281,"Premium")+COUNTIFS('All Cafes (Premium+Normal)'!$I$2:$I$281,"*Ghaziabad*",'All Cafes (Premium+Normal)'!$D$2:$D$281,"Premium")</f>
        <v>2</v>
      </c>
      <c r="F26" s="2" t="s">
        <v>3626</v>
      </c>
      <c r="G26" s="2"/>
    </row>
    <row r="27" customFormat="false" ht="15" hidden="false" customHeight="false" outlineLevel="0" collapsed="false">
      <c r="A27" s="2" t="s">
        <v>428</v>
      </c>
      <c r="B27" s="2" t="s">
        <v>2106</v>
      </c>
      <c r="C27" s="2" t="s">
        <v>3595</v>
      </c>
      <c r="D27" s="2" t="n">
        <f aca="false">COUNTIFS('All Cafes (Premium+Normal)'!$I$2:$I$281,"*Faridabad*")</f>
        <v>1</v>
      </c>
      <c r="E27" s="2" t="n">
        <f aca="false">COUNTIFS('All Cafes (Premium+Normal)'!$I$2:$I$281,"*Faridabad*",'All Cafes (Premium+Normal)'!$D$2:$D$281,"Premium")</f>
        <v>1</v>
      </c>
      <c r="F27" s="2" t="s">
        <v>3627</v>
      </c>
      <c r="G27" s="2"/>
    </row>
    <row r="28" customFormat="false" ht="15" hidden="false" customHeight="false" outlineLevel="0" collapsed="false">
      <c r="A28" s="2" t="s">
        <v>2333</v>
      </c>
      <c r="B28" s="2" t="s">
        <v>3628</v>
      </c>
      <c r="C28" s="2" t="s">
        <v>3587</v>
      </c>
      <c r="D28" s="2" t="n">
        <f aca="false">COUNTIFS('All Cafes (Premium+Normal)'!$I$2:$I$281,"*Chandigarh*")+COUNTIFS('All Cafes (Premium+Normal)'!$I$2:$I$281,"*Mohali*")+COUNTIFS('All Cafes (Premium+Normal)'!$I$2:$I$281,"*Panchkula*")</f>
        <v>8</v>
      </c>
      <c r="E28" s="2" t="n">
        <f aca="false">COUNTIFS('All Cafes (Premium+Normal)'!$I$2:$I$281,"*Chandigarh*",'All Cafes (Premium+Normal)'!$D$2:$D$281,"Premium")+COUNTIFS('All Cafes (Premium+Normal)'!$I$2:$I$281,"*Mohali*",'All Cafes (Premium+Normal)'!$D$2:$D$281,"Premium")+COUNTIFS('All Cafes (Premium+Normal)'!$I$2:$I$281,"*Panchkula*",'All Cafes (Premium+Normal)'!$D$2:$D$281,"Premium")</f>
        <v>3</v>
      </c>
      <c r="F28" s="2" t="s">
        <v>3629</v>
      </c>
      <c r="G28" s="2"/>
    </row>
    <row r="29" customFormat="false" ht="15" hidden="false" customHeight="false" outlineLevel="0" collapsed="false">
      <c r="A29" s="2" t="s">
        <v>589</v>
      </c>
      <c r="B29" s="2" t="s">
        <v>3630</v>
      </c>
      <c r="C29" s="2" t="s">
        <v>3595</v>
      </c>
      <c r="D29" s="2" t="n">
        <f aca="false">COUNTIFS('All Cafes (Premium+Normal)'!$I$2:$I$281,"*Ludhiana*")+COUNTIFS('All Cafes (Premium+Normal)'!$I$2:$I$281,"*Amritsar*")+COUNTIFS('All Cafes (Premium+Normal)'!$I$2:$I$281,"*Jalandhar*")</f>
        <v>8</v>
      </c>
      <c r="E29" s="2" t="n">
        <f aca="false">COUNTIFS('All Cafes (Premium+Normal)'!$I$2:$I$281,"*Ludhiana*",'All Cafes (Premium+Normal)'!$D$2:$D$281,"Premium")+COUNTIFS('All Cafes (Premium+Normal)'!$I$2:$I$281,"*Amritsar*",'All Cafes (Premium+Normal)'!$D$2:$D$281,"Premium")+COUNTIFS('All Cafes (Premium+Normal)'!$I$2:$I$281,"*Jalandhar*",'All Cafes (Premium+Normal)'!$D$2:$D$281,"Premium")</f>
        <v>1</v>
      </c>
      <c r="F29" s="2" t="s">
        <v>3631</v>
      </c>
      <c r="G29" s="2"/>
    </row>
    <row r="30" customFormat="false" ht="15" hidden="false" customHeight="false" outlineLevel="0" collapsed="false">
      <c r="A30" s="2" t="s">
        <v>3632</v>
      </c>
      <c r="B30" s="2" t="s">
        <v>3633</v>
      </c>
      <c r="C30" s="2" t="s">
        <v>3605</v>
      </c>
      <c r="D30" s="2" t="n">
        <f aca="false">COUNTIFS('All Cafes (Premium+Normal)'!$I$2:$I$281,"*Srinagar*")+COUNTIFS('All Cafes (Premium+Normal)'!$I$2:$I$281,"*Jammu*")</f>
        <v>0</v>
      </c>
      <c r="E30" s="2" t="n">
        <f aca="false">COUNTIFS('All Cafes (Premium+Normal)'!$I$2:$I$281,"*Srinagar*",'All Cafes (Premium+Normal)'!$D$2:$D$281,"Premium")+COUNTIFS('All Cafes (Premium+Normal)'!$I$2:$I$281,"*Jammu*",'All Cafes (Premium+Normal)'!$D$2:$D$281,"Premium")</f>
        <v>0</v>
      </c>
      <c r="F30" s="2" t="s">
        <v>3634</v>
      </c>
      <c r="G30" s="2" t="s">
        <v>3635</v>
      </c>
    </row>
    <row r="31" customFormat="false" ht="15" hidden="false" customHeight="false" outlineLevel="0" collapsed="false">
      <c r="A31" s="2" t="s">
        <v>2420</v>
      </c>
      <c r="B31" s="2" t="s">
        <v>2421</v>
      </c>
      <c r="C31" s="2" t="s">
        <v>3595</v>
      </c>
      <c r="D31" s="2" t="n">
        <f aca="false">COUNTIFS('All Cafes (Premium+Normal)'!$I$2:$I$281,"*Leh*")</f>
        <v>2</v>
      </c>
      <c r="E31" s="2" t="n">
        <f aca="false">COUNTIFS('All Cafes (Premium+Normal)'!$I$2:$I$281,"*Leh*",'All Cafes (Premium+Normal)'!$D$2:$D$281,"Premium")</f>
        <v>0</v>
      </c>
      <c r="F31" s="2" t="s">
        <v>3636</v>
      </c>
      <c r="G31" s="2"/>
    </row>
    <row r="32" customFormat="false" ht="23.85" hidden="false" customHeight="false" outlineLevel="0" collapsed="false">
      <c r="A32" s="2" t="s">
        <v>2360</v>
      </c>
      <c r="B32" s="2" t="s">
        <v>3637</v>
      </c>
      <c r="C32" s="2" t="s">
        <v>3595</v>
      </c>
      <c r="D32" s="2" t="n">
        <f aca="false">COUNTIFS('All Cafes (Premium+Normal)'!$I$2:$I$281,"*McLeodganj*")+COUNTIFS('All Cafes (Premium+Normal)'!$I$2:$I$281,"*Manali*")+COUNTIFS('All Cafes (Premium+Normal)'!$I$2:$I$281,"*Kasol*")+COUNTIFS('All Cafes (Premium+Normal)'!$I$2:$I$281,"*Shimla*")+COUNTIFS('All Cafes (Premium+Normal)'!$I$2:$I$281,"*Bir*")+COUNTIFS('All Cafes (Premium+Normal)'!$I$2:$I$281,"*Kasauli*")</f>
        <v>3</v>
      </c>
      <c r="E32" s="2" t="n">
        <f aca="false">COUNTIFS('All Cafes (Premium+Normal)'!$I$2:$I$281,"*McLeodganj*",'All Cafes (Premium+Normal)'!$D$2:$D$281,"Premium")+COUNTIFS('All Cafes (Premium+Normal)'!$I$2:$I$281,"*Manali*",'All Cafes (Premium+Normal)'!$D$2:$D$281,"Premium")+COUNTIFS('All Cafes (Premium+Normal)'!$I$2:$I$281,"*Kasol*",'All Cafes (Premium+Normal)'!$D$2:$D$281,"Premium")+COUNTIFS('All Cafes (Premium+Normal)'!$I$2:$I$281,"*Shimla*",'All Cafes (Premium+Normal)'!$D$2:$D$281,"Premium")+COUNTIFS('All Cafes (Premium+Normal)'!$I$2:$I$281,"*Bir*",'All Cafes (Premium+Normal)'!$D$2:$D$281,"Premium")+COUNTIFS('All Cafes (Premium+Normal)'!$I$2:$I$281,"*Kasauli*",'All Cafes (Premium+Normal)'!$D$2:$D$281,"Premium")</f>
        <v>1</v>
      </c>
      <c r="F32" s="2" t="s">
        <v>3620</v>
      </c>
      <c r="G32" s="2" t="s">
        <v>3638</v>
      </c>
    </row>
    <row r="33" customFormat="false" ht="15" hidden="false" customHeight="false" outlineLevel="0" collapsed="false">
      <c r="A33" s="2" t="s">
        <v>2388</v>
      </c>
      <c r="B33" s="2" t="s">
        <v>3639</v>
      </c>
      <c r="C33" s="2" t="s">
        <v>3595</v>
      </c>
      <c r="D33" s="2" t="n">
        <f aca="false">COUNTIFS('All Cafes (Premium+Normal)'!$I$2:$I$281,"*Dehradun*")+COUNTIFS('All Cafes (Premium+Normal)'!$I$2:$I$281,"*Rishikesh*")+COUNTIFS('All Cafes (Premium+Normal)'!$I$2:$I$281,"*Mussoorie*")</f>
        <v>4</v>
      </c>
      <c r="E33" s="2" t="n">
        <f aca="false">COUNTIFS('All Cafes (Premium+Normal)'!$I$2:$I$281,"*Dehradun*",'All Cafes (Premium+Normal)'!$D$2:$D$281,"Premium")+COUNTIFS('All Cafes (Premium+Normal)'!$I$2:$I$281,"*Rishikesh*",'All Cafes (Premium+Normal)'!$D$2:$D$281,"Premium")+COUNTIFS('All Cafes (Premium+Normal)'!$I$2:$I$281,"*Mussoorie*",'All Cafes (Premium+Normal)'!$D$2:$D$281,"Premium")</f>
        <v>3</v>
      </c>
      <c r="F33" s="2" t="s">
        <v>3620</v>
      </c>
      <c r="G33" s="2"/>
    </row>
    <row r="34" customFormat="false" ht="15" hidden="false" customHeight="false" outlineLevel="0" collapsed="false">
      <c r="A34" s="2" t="s">
        <v>459</v>
      </c>
      <c r="B34" s="2" t="s">
        <v>460</v>
      </c>
      <c r="C34" s="2" t="s">
        <v>3587</v>
      </c>
      <c r="D34" s="2" t="n">
        <f aca="false">COUNTIFS('All Cafes (Premium+Normal)'!$I$2:$I$281,"*Lucknow*")</f>
        <v>8</v>
      </c>
      <c r="E34" s="2" t="n">
        <f aca="false">COUNTIFS('All Cafes (Premium+Normal)'!$I$2:$I$281,"*Lucknow*",'All Cafes (Premium+Normal)'!$D$2:$D$281,"Premium")</f>
        <v>4</v>
      </c>
      <c r="F34" s="2" t="s">
        <v>3640</v>
      </c>
      <c r="G34" s="2"/>
    </row>
    <row r="35" customFormat="false" ht="23.85" hidden="false" customHeight="false" outlineLevel="0" collapsed="false">
      <c r="A35" s="2" t="s">
        <v>459</v>
      </c>
      <c r="B35" s="2" t="s">
        <v>3641</v>
      </c>
      <c r="C35" s="2" t="s">
        <v>3595</v>
      </c>
      <c r="D35" s="2" t="n">
        <f aca="false">COUNTIFS('All Cafes (Premium+Normal)'!$I$2:$I$281,"*Varanasi*")+COUNTIFS('All Cafes (Premium+Normal)'!$I$2:$I$281,"*Kanpur*")+COUNTIFS('All Cafes (Premium+Normal)'!$I$2:$I$281,"*Agra*")+COUNTIFS('All Cafes (Premium+Normal)'!$I$2:$I$281,"*Prayagraj*")+COUNTIFS('All Cafes (Premium+Normal)'!$I$2:$I$281,"*Meerut*")</f>
        <v>6</v>
      </c>
      <c r="E35" s="2" t="n">
        <f aca="false">COUNTIFS('All Cafes (Premium+Normal)'!$I$2:$I$281,"*Varanasi*",'All Cafes (Premium+Normal)'!$D$2:$D$281,"Premium")+COUNTIFS('All Cafes (Premium+Normal)'!$I$2:$I$281,"*Kanpur*",'All Cafes (Premium+Normal)'!$D$2:$D$281,"Premium")+COUNTIFS('All Cafes (Premium+Normal)'!$I$2:$I$281,"*Agra*",'All Cafes (Premium+Normal)'!$D$2:$D$281,"Premium")+COUNTIFS('All Cafes (Premium+Normal)'!$I$2:$I$281,"*Prayagraj*",'All Cafes (Premium+Normal)'!$D$2:$D$281,"Premium")+COUNTIFS('All Cafes (Premium+Normal)'!$I$2:$I$281,"*Meerut*",'All Cafes (Premium+Normal)'!$D$2:$D$281,"Premium")</f>
        <v>1</v>
      </c>
      <c r="F35" s="2" t="s">
        <v>3620</v>
      </c>
      <c r="G35" s="2" t="s">
        <v>3642</v>
      </c>
    </row>
    <row r="36" customFormat="false" ht="15" hidden="false" customHeight="false" outlineLevel="0" collapsed="false">
      <c r="A36" s="2" t="s">
        <v>473</v>
      </c>
      <c r="B36" s="2" t="s">
        <v>474</v>
      </c>
      <c r="C36" s="2" t="s">
        <v>3587</v>
      </c>
      <c r="D36" s="2" t="n">
        <f aca="false">COUNTIFS('All Cafes (Premium+Normal)'!$I$2:$I$281,"*Kolkata*")</f>
        <v>12</v>
      </c>
      <c r="E36" s="2" t="n">
        <f aca="false">COUNTIFS('All Cafes (Premium+Normal)'!$I$2:$I$281,"*Kolkata*",'All Cafes (Premium+Normal)'!$D$2:$D$281,"Premium")</f>
        <v>6</v>
      </c>
      <c r="F36" s="2" t="s">
        <v>3643</v>
      </c>
      <c r="G36" s="2"/>
    </row>
    <row r="37" customFormat="false" ht="15" hidden="false" customHeight="false" outlineLevel="0" collapsed="false">
      <c r="A37" s="2" t="s">
        <v>473</v>
      </c>
      <c r="B37" s="2" t="s">
        <v>3644</v>
      </c>
      <c r="C37" s="2" t="s">
        <v>3595</v>
      </c>
      <c r="D37" s="2" t="n">
        <f aca="false">COUNTIFS('All Cafes (Premium+Normal)'!$I$2:$I$281,"*Siliguri*")+COUNTIFS('All Cafes (Premium+Normal)'!$I$2:$I$281,"*Darjeeling*")</f>
        <v>1</v>
      </c>
      <c r="E37" s="2" t="n">
        <f aca="false">COUNTIFS('All Cafes (Premium+Normal)'!$I$2:$I$281,"*Siliguri*",'All Cafes (Premium+Normal)'!$D$2:$D$281,"Premium")+COUNTIFS('All Cafes (Premium+Normal)'!$I$2:$I$281,"*Darjeeling*",'All Cafes (Premium+Normal)'!$D$2:$D$281,"Premium")</f>
        <v>0</v>
      </c>
      <c r="F37" s="2" t="s">
        <v>3645</v>
      </c>
      <c r="G37" s="2"/>
    </row>
    <row r="38" customFormat="false" ht="15" hidden="false" customHeight="false" outlineLevel="0" collapsed="false">
      <c r="A38" s="2" t="s">
        <v>2562</v>
      </c>
      <c r="B38" s="2" t="s">
        <v>3646</v>
      </c>
      <c r="C38" s="2" t="s">
        <v>3595</v>
      </c>
      <c r="D38" s="2" t="n">
        <f aca="false">COUNTIFS('All Cafes (Premium+Normal)'!$I$2:$I$281,"*Bhubaneswar*")+COUNTIFS('All Cafes (Premium+Normal)'!$I$2:$I$281,"*Cuttack*")</f>
        <v>1</v>
      </c>
      <c r="E38" s="2" t="n">
        <f aca="false">COUNTIFS('All Cafes (Premium+Normal)'!$I$2:$I$281,"*Bhubaneswar*",'All Cafes (Premium+Normal)'!$D$2:$D$281,"Premium")+COUNTIFS('All Cafes (Premium+Normal)'!$I$2:$I$281,"*Cuttack*",'All Cafes (Premium+Normal)'!$D$2:$D$281,"Premium")</f>
        <v>1</v>
      </c>
      <c r="F38" s="2" t="s">
        <v>3647</v>
      </c>
      <c r="G38" s="2" t="s">
        <v>3648</v>
      </c>
    </row>
    <row r="39" customFormat="false" ht="15" hidden="false" customHeight="false" outlineLevel="0" collapsed="false">
      <c r="A39" s="2" t="s">
        <v>2577</v>
      </c>
      <c r="B39" s="2" t="s">
        <v>2578</v>
      </c>
      <c r="C39" s="2" t="s">
        <v>3595</v>
      </c>
      <c r="D39" s="2" t="n">
        <f aca="false">COUNTIFS('All Cafes (Premium+Normal)'!$I$2:$I$281,"*Patna*")</f>
        <v>2</v>
      </c>
      <c r="E39" s="2" t="n">
        <f aca="false">COUNTIFS('All Cafes (Premium+Normal)'!$I$2:$I$281,"*Patna*",'All Cafes (Premium+Normal)'!$D$2:$D$281,"Premium")</f>
        <v>0</v>
      </c>
      <c r="F39" s="2" t="s">
        <v>3649</v>
      </c>
      <c r="G39" s="2"/>
    </row>
    <row r="40" customFormat="false" ht="15" hidden="false" customHeight="false" outlineLevel="0" collapsed="false">
      <c r="A40" s="2" t="s">
        <v>600</v>
      </c>
      <c r="B40" s="2" t="s">
        <v>3650</v>
      </c>
      <c r="C40" s="2" t="s">
        <v>3595</v>
      </c>
      <c r="D40" s="2" t="n">
        <f aca="false">COUNTIFS('All Cafes (Premium+Normal)'!$I$2:$I$281,"*Ranchi*")+COUNTIFS('All Cafes (Premium+Normal)'!$I$2:$I$281,"*Jamshedpur*")</f>
        <v>1</v>
      </c>
      <c r="E40" s="2" t="n">
        <f aca="false">COUNTIFS('All Cafes (Premium+Normal)'!$I$2:$I$281,"*Ranchi*",'All Cafes (Premium+Normal)'!$D$2:$D$281,"Premium")+COUNTIFS('All Cafes (Premium+Normal)'!$I$2:$I$281,"*Jamshedpur*",'All Cafes (Premium+Normal)'!$D$2:$D$281,"Premium")</f>
        <v>0</v>
      </c>
      <c r="F40" s="2" t="s">
        <v>3651</v>
      </c>
      <c r="G40" s="2" t="s">
        <v>3652</v>
      </c>
    </row>
    <row r="41" customFormat="false" ht="15" hidden="false" customHeight="false" outlineLevel="0" collapsed="false">
      <c r="A41" s="2" t="s">
        <v>947</v>
      </c>
      <c r="B41" s="2" t="s">
        <v>948</v>
      </c>
      <c r="C41" s="2" t="s">
        <v>3595</v>
      </c>
      <c r="D41" s="2" t="n">
        <f aca="false">COUNTIFS('All Cafes (Premium+Normal)'!$I$2:$I$281,"*Guwahati*")</f>
        <v>4</v>
      </c>
      <c r="E41" s="2" t="n">
        <f aca="false">COUNTIFS('All Cafes (Premium+Normal)'!$I$2:$I$281,"*Guwahati*",'All Cafes (Premium+Normal)'!$D$2:$D$281,"Premium")</f>
        <v>1</v>
      </c>
      <c r="F41" s="2" t="s">
        <v>3653</v>
      </c>
      <c r="G41" s="2"/>
    </row>
    <row r="42" customFormat="false" ht="15" hidden="false" customHeight="false" outlineLevel="0" collapsed="false">
      <c r="A42" s="2" t="s">
        <v>2626</v>
      </c>
      <c r="B42" s="2" t="s">
        <v>2627</v>
      </c>
      <c r="C42" s="2" t="s">
        <v>3595</v>
      </c>
      <c r="D42" s="2" t="n">
        <f aca="false">COUNTIFS('All Cafes (Premium+Normal)'!$I$2:$I$281,"*Shillong*")</f>
        <v>2</v>
      </c>
      <c r="E42" s="2" t="n">
        <f aca="false">COUNTIFS('All Cafes (Premium+Normal)'!$I$2:$I$281,"*Shillong*",'All Cafes (Premium+Normal)'!$D$2:$D$281,"Premium")</f>
        <v>0</v>
      </c>
      <c r="F42" s="2" t="s">
        <v>3654</v>
      </c>
      <c r="G42" s="2"/>
    </row>
    <row r="43" customFormat="false" ht="15" hidden="false" customHeight="false" outlineLevel="0" collapsed="false">
      <c r="A43" s="2" t="s">
        <v>2650</v>
      </c>
      <c r="B43" s="2" t="s">
        <v>2651</v>
      </c>
      <c r="C43" s="2" t="s">
        <v>3595</v>
      </c>
      <c r="D43" s="2" t="n">
        <f aca="false">COUNTIFS('All Cafes (Premium+Normal)'!$I$2:$I$281,"*Gangtok*")</f>
        <v>3</v>
      </c>
      <c r="E43" s="2" t="n">
        <f aca="false">COUNTIFS('All Cafes (Premium+Normal)'!$I$2:$I$281,"*Gangtok*",'All Cafes (Premium+Normal)'!$D$2:$D$281,"Premium")</f>
        <v>2</v>
      </c>
      <c r="F43" s="2" t="s">
        <v>3655</v>
      </c>
      <c r="G43" s="2"/>
    </row>
    <row r="44" customFormat="false" ht="15" hidden="false" customHeight="false" outlineLevel="0" collapsed="false">
      <c r="A44" s="2" t="s">
        <v>2675</v>
      </c>
      <c r="B44" s="2" t="s">
        <v>3656</v>
      </c>
      <c r="C44" s="2" t="s">
        <v>3595</v>
      </c>
      <c r="D44" s="2" t="n">
        <f aca="false">COUNTIFS('All Cafes (Premium+Normal)'!$I$2:$I$281,"*Kohima*")+COUNTIFS('All Cafes (Premium+Normal)'!$I$2:$I$281,"*Dimapur*")</f>
        <v>1</v>
      </c>
      <c r="E44" s="2" t="n">
        <f aca="false">COUNTIFS('All Cafes (Premium+Normal)'!$I$2:$I$281,"*Kohima*",'All Cafes (Premium+Normal)'!$D$2:$D$281,"Premium")+COUNTIFS('All Cafes (Premium+Normal)'!$I$2:$I$281,"*Dimapur*",'All Cafes (Premium+Normal)'!$D$2:$D$281,"Premium")</f>
        <v>0</v>
      </c>
      <c r="F44" s="2" t="s">
        <v>3651</v>
      </c>
      <c r="G44" s="2"/>
    </row>
    <row r="45" customFormat="false" ht="15" hidden="false" customHeight="false" outlineLevel="0" collapsed="false">
      <c r="A45" s="2" t="s">
        <v>2685</v>
      </c>
      <c r="B45" s="2" t="s">
        <v>2686</v>
      </c>
      <c r="C45" s="2" t="s">
        <v>3595</v>
      </c>
      <c r="D45" s="2" t="n">
        <f aca="false">COUNTIFS('All Cafes (Premium+Normal)'!$I$2:$I$281,"*Aizawl*")</f>
        <v>2</v>
      </c>
      <c r="E45" s="2" t="n">
        <f aca="false">COUNTIFS('All Cafes (Premium+Normal)'!$I$2:$I$281,"*Aizawl*",'All Cafes (Premium+Normal)'!$D$2:$D$281,"Premium")</f>
        <v>1</v>
      </c>
      <c r="F45" s="2" t="s">
        <v>3657</v>
      </c>
      <c r="G45" s="2"/>
    </row>
    <row r="46" customFormat="false" ht="23.85" hidden="false" customHeight="false" outlineLevel="0" collapsed="false">
      <c r="A46" s="2" t="s">
        <v>3658</v>
      </c>
      <c r="B46" s="2" t="s">
        <v>3659</v>
      </c>
      <c r="C46" s="2" t="s">
        <v>3605</v>
      </c>
      <c r="D46" s="2" t="n">
        <f aca="false">COUNTIFS('All Cafes (Premium+Normal)'!$I$2:$I$281,"*Imphal*")+COUNTIFS('All Cafes (Premium+Normal)'!$I$2:$I$281,"*Agartala*")+COUNTIFS('All Cafes (Premium+Normal)'!$I$2:$I$281,"*Itanagar*")</f>
        <v>2</v>
      </c>
      <c r="E46" s="2" t="n">
        <f aca="false">COUNTIFS('All Cafes (Premium+Normal)'!$I$2:$I$281,"*Imphal*",'All Cafes (Premium+Normal)'!$D$2:$D$281,"Premium")+COUNTIFS('All Cafes (Premium+Normal)'!$I$2:$I$281,"*Agartala*",'All Cafes (Premium+Normal)'!$D$2:$D$281,"Premium")+COUNTIFS('All Cafes (Premium+Normal)'!$I$2:$I$281,"*Itanagar*",'All Cafes (Premium+Normal)'!$D$2:$D$281,"Premium")</f>
        <v>0</v>
      </c>
      <c r="F46" s="2" t="s">
        <v>3651</v>
      </c>
      <c r="G46" s="2" t="s">
        <v>3660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70"/>
    <col collapsed="false" customWidth="true" hidden="false" outlineLevel="0" max="4" min="4" style="0" width="45"/>
  </cols>
  <sheetData>
    <row r="1" customFormat="false" ht="15" hidden="false" customHeight="false" outlineLevel="0" collapsed="false">
      <c r="A1" s="10" t="s">
        <v>3661</v>
      </c>
      <c r="B1" s="10" t="s">
        <v>3662</v>
      </c>
      <c r="C1" s="10" t="s">
        <v>3663</v>
      </c>
      <c r="D1" s="10" t="s">
        <v>3664</v>
      </c>
    </row>
    <row r="2" customFormat="false" ht="35.05" hidden="false" customHeight="false" outlineLevel="0" collapsed="false">
      <c r="A2" s="2" t="s">
        <v>62</v>
      </c>
      <c r="B2" s="2" t="s">
        <v>3665</v>
      </c>
      <c r="C2" s="2" t="s">
        <v>3666</v>
      </c>
      <c r="D2" s="2" t="s">
        <v>3667</v>
      </c>
    </row>
    <row r="3" customFormat="false" ht="35.05" hidden="false" customHeight="false" outlineLevel="0" collapsed="false">
      <c r="A3" s="2" t="s">
        <v>67</v>
      </c>
      <c r="B3" s="2" t="s">
        <v>3668</v>
      </c>
      <c r="C3" s="2" t="s">
        <v>3669</v>
      </c>
      <c r="D3" s="2" t="s">
        <v>3670</v>
      </c>
    </row>
    <row r="4" customFormat="false" ht="23.85" hidden="false" customHeight="false" outlineLevel="0" collapsed="false">
      <c r="A4" s="2" t="s">
        <v>3671</v>
      </c>
      <c r="B4" s="2" t="s">
        <v>3672</v>
      </c>
      <c r="C4" s="2" t="s">
        <v>3673</v>
      </c>
      <c r="D4" s="2" t="s">
        <v>3674</v>
      </c>
    </row>
    <row r="5" customFormat="false" ht="46.25" hidden="false" customHeight="false" outlineLevel="0" collapsed="false">
      <c r="A5" s="2" t="s">
        <v>3675</v>
      </c>
      <c r="B5" s="2" t="s">
        <v>3676</v>
      </c>
      <c r="C5" s="2" t="s">
        <v>3677</v>
      </c>
      <c r="D5" s="2" t="s">
        <v>3678</v>
      </c>
    </row>
    <row r="6" customFormat="false" ht="35.05" hidden="false" customHeight="false" outlineLevel="0" collapsed="false">
      <c r="A6" s="2" t="s">
        <v>3679</v>
      </c>
      <c r="B6" s="2" t="s">
        <v>3680</v>
      </c>
      <c r="C6" s="2" t="s">
        <v>3681</v>
      </c>
      <c r="D6" s="2" t="s">
        <v>3682</v>
      </c>
    </row>
    <row r="7" customFormat="false" ht="23.85" hidden="false" customHeight="false" outlineLevel="0" collapsed="false">
      <c r="A7" s="2" t="s">
        <v>3683</v>
      </c>
      <c r="B7" s="2" t="s">
        <v>3684</v>
      </c>
      <c r="C7" s="2" t="s">
        <v>3685</v>
      </c>
      <c r="D7" s="2" t="s">
        <v>3686</v>
      </c>
    </row>
    <row r="8" customFormat="false" ht="15" hidden="false" customHeight="false" outlineLevel="0" collapsed="false">
      <c r="A8" s="2" t="s">
        <v>3687</v>
      </c>
      <c r="B8" s="2" t="s">
        <v>3688</v>
      </c>
      <c r="C8" s="2" t="s">
        <v>3689</v>
      </c>
      <c r="D8" s="2" t="s">
        <v>3690</v>
      </c>
    </row>
    <row r="9" customFormat="false" ht="23.85" hidden="false" customHeight="false" outlineLevel="0" collapsed="false">
      <c r="A9" s="2" t="s">
        <v>3691</v>
      </c>
      <c r="B9" s="2" t="s">
        <v>3692</v>
      </c>
      <c r="C9" s="2" t="s">
        <v>3693</v>
      </c>
      <c r="D9" s="2" t="s">
        <v>3694</v>
      </c>
    </row>
    <row r="10" customFormat="false" ht="23.85" hidden="false" customHeight="false" outlineLevel="0" collapsed="false">
      <c r="A10" s="2" t="s">
        <v>3695</v>
      </c>
      <c r="B10" s="2" t="s">
        <v>3696</v>
      </c>
      <c r="C10" s="2" t="s">
        <v>3697</v>
      </c>
      <c r="D10" s="2" t="s">
        <v>3698</v>
      </c>
    </row>
    <row r="11" customFormat="false" ht="23.85" hidden="false" customHeight="false" outlineLevel="0" collapsed="false">
      <c r="A11" s="2" t="s">
        <v>65</v>
      </c>
      <c r="B11" s="2" t="s">
        <v>3699</v>
      </c>
      <c r="C11" s="2" t="s">
        <v>3700</v>
      </c>
      <c r="D11" s="2" t="s">
        <v>3701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2026-10-27T23:20:07Z</dcterms:created>
  <dc:creator>openpyxl</dc:creator>
  <dc:description/>
  <dc:language>en-US</dc:language>
  <cp:lastModifiedBy/>
  <dcterms:modified xsi:type="dcterms:W3CDTF">2026-10-27T23:20:07Z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